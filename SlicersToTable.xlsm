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D:\d\Mag\FreeTips\Tip978\"/>
    </mc:Choice>
  </mc:AlternateContent>
  <xr:revisionPtr revIDLastSave="0" documentId="8_{4ADE874A-3184-4B6D-BED5-753A51CEF891}" xr6:coauthVersionLast="47" xr6:coauthVersionMax="47" xr10:uidLastSave="{00000000-0000-0000-0000-000000000000}"/>
  <bookViews>
    <workbookView xWindow="-103" yWindow="-103" windowWidth="33120" windowHeight="18120" tabRatio="801" activeTab="2" xr2:uid="{00000000-000D-0000-FFFF-FFFF00000000}"/>
  </bookViews>
  <sheets>
    <sheet name="Guide" sheetId="6" r:id="rId1"/>
    <sheet name="Params" sheetId="5" r:id="rId2"/>
    <sheet name="sSales" sheetId="1" r:id="rId3"/>
    <sheet name="sSales2" sheetId="16" r:id="rId4"/>
    <sheet name="sSalesFilter" sheetId="17" r:id="rId5"/>
    <sheet name="sSalesColour" sheetId="18" r:id="rId6"/>
  </sheets>
  <definedNames>
    <definedName name="_xlnm._FilterDatabase" localSheetId="2" hidden="1">sSales!$O$14:$O$50</definedName>
    <definedName name="_xlnm._FilterDatabase" localSheetId="3" hidden="1">sSales2!$O$14:$O$50</definedName>
    <definedName name="_xlnm._FilterDatabase" localSheetId="5" hidden="1">sSalesColour!$O$14:$O$50</definedName>
    <definedName name="_xlnm._FilterDatabase" localSheetId="4" hidden="1">sSalesFilter!$O$14:$O$50</definedName>
    <definedName name="afbGuide">Guide!$A$1:$B$4</definedName>
    <definedName name="afbParams">Params!$A$1:$A$4</definedName>
    <definedName name="afbSheet" localSheetId="2">sSales!$K$11:$M$14</definedName>
    <definedName name="afbSheet" localSheetId="3">sSales2!$K$11:$M$14</definedName>
    <definedName name="afbSheet" localSheetId="5">sSalesColour!$K$11:$M$14</definedName>
    <definedName name="afbSheet" localSheetId="4">sSalesFilter!$K$11:$M$14</definedName>
    <definedName name="dtiSalesPerformance" localSheetId="3">sSales2!$K$14:$P$50</definedName>
    <definedName name="dtiSalesPerformance" localSheetId="5">sSalesColour!$K$14:$P$50</definedName>
    <definedName name="dtiSalesPerformance" localSheetId="4">sSalesFilter!$K$14:$P$50</definedName>
    <definedName name="dtiSalesPerformance">sSales!$K$14:$P$50</definedName>
    <definedName name="gAppDescription">Guide!$C$6</definedName>
    <definedName name="gCreator">Guide!$C$10</definedName>
    <definedName name="gProcedures">Guide!$A$28</definedName>
    <definedName name="gPurpose">Guide!$C$7</definedName>
    <definedName name="gStartWorkbook">Guide!$C$22</definedName>
    <definedName name="kAppName">Params!$B$6</definedName>
    <definedName name="kCrosscheckMsg">Params!$B$11</definedName>
    <definedName name="kCrosscheckTolerance">Params!$B$10</definedName>
    <definedName name="kHideWebToolbar">Params!$B$13</definedName>
    <definedName name="kNow">Params!$B$12</definedName>
    <definedName name="kOrgName">Params!$B$9</definedName>
    <definedName name="kPeriod">Params!$B$7</definedName>
    <definedName name="kVersion">Params!$B$8</definedName>
    <definedName name="_xlnm.Print_Area" localSheetId="2">sSales!$K$14:$P$50</definedName>
    <definedName name="_xlnm.Print_Area" localSheetId="3">sSales2!$K$14:$P$50</definedName>
    <definedName name="_xlnm.Print_Area" localSheetId="5">sSalesColour!$K$14:$P$50</definedName>
    <definedName name="_xlnm.Print_Area" localSheetId="4">sSalesFilter!$K$14:$P$50</definedName>
    <definedName name="_xlnm.Print_Titles" localSheetId="0">Guide!$1:$4</definedName>
    <definedName name="_xlnm.Print_Titles" localSheetId="1">Params!$1:$4</definedName>
    <definedName name="_xlnm.Print_Titles" localSheetId="2">sSales!$K:$K,sSales!$11:$14</definedName>
    <definedName name="_xlnm.Print_Titles" localSheetId="3">sSales2!$K:$K,sSales2!$11:$14</definedName>
    <definedName name="_xlnm.Print_Titles" localSheetId="5">sSalesColour!$K:$K,sSalesColour!$11:$14</definedName>
    <definedName name="_xlnm.Print_Titles" localSheetId="4">sSalesFilter!$K:$K,sSalesFilter!$11:$14</definedName>
    <definedName name="qcNIKey" localSheetId="5">#REF!</definedName>
    <definedName name="qcNIKey" localSheetId="4">#REF!</definedName>
    <definedName name="qcNIKey">#REF!</definedName>
    <definedName name="qcNISMOTel" localSheetId="5">#REF!</definedName>
    <definedName name="qcNISMOTel" localSheetId="4">#REF!</definedName>
    <definedName name="qcNISMOTel">#REF!</definedName>
    <definedName name="qcSIKey" localSheetId="5">#REF!</definedName>
    <definedName name="qcSIKey" localSheetId="4">#REF!</definedName>
    <definedName name="qcSIKey">#REF!</definedName>
    <definedName name="qcSISMOTel" localSheetId="5">#REF!</definedName>
    <definedName name="qcSISMOTel" localSheetId="4">#REF!</definedName>
    <definedName name="qcSISMOTel">#REF!</definedName>
    <definedName name="Slicer_Office">#N/A</definedName>
    <definedName name="Slicer_Office1">#N/A</definedName>
    <definedName name="Slicer_Office11">#N/A</definedName>
    <definedName name="Slicer_Office111">#N/A</definedName>
    <definedName name="Slicer_Team">#N/A</definedName>
    <definedName name="Slicer_Team1">#N/A</definedName>
    <definedName name="Slicer_Team11">#N/A</definedName>
    <definedName name="Slicer_Team111">#N/A</definedName>
    <definedName name="tcOffice" localSheetId="3">sSales2!$M$14</definedName>
    <definedName name="tcOffice" localSheetId="5">sSalesColour!$M$14</definedName>
    <definedName name="tcOffice" localSheetId="4">sSalesFilter!$M$14</definedName>
    <definedName name="tcOffice">sSales!$M$14</definedName>
    <definedName name="tcSales" localSheetId="3">sSales2!$O$14</definedName>
    <definedName name="tcSales" localSheetId="5">sSalesColour!$O$14</definedName>
    <definedName name="tcSales" localSheetId="4">sSalesFilter!$O$14</definedName>
    <definedName name="tcSales">sSales!$O$14</definedName>
    <definedName name="tcTarget" localSheetId="3">sSales2!$N$14</definedName>
    <definedName name="tcTarget" localSheetId="5">sSalesColour!$N$14</definedName>
    <definedName name="tcTarget" localSheetId="4">sSalesFilter!$N$14</definedName>
    <definedName name="tcTarget">sSales!$N$14</definedName>
    <definedName name="tcTeam" localSheetId="3">sSales2!$L$14</definedName>
    <definedName name="tcTeam" localSheetId="5">sSalesColour!$L$14</definedName>
    <definedName name="tcTeam" localSheetId="4">sSalesFilter!$L$14</definedName>
    <definedName name="tcTeam">sSales!$L$14</definedName>
    <definedName name="ttSheet" localSheetId="0">Guide!$A$4:$D$4</definedName>
    <definedName name="ttSheet" localSheetId="1">Params!$A$4:$B$4</definedName>
    <definedName name="ttSheet" localSheetId="2">sSales!$K$14:$P$14</definedName>
    <definedName name="ttSheet" localSheetId="3">sSales2!$K$14:$P$14</definedName>
    <definedName name="ttSheet" localSheetId="5">sSalesColour!$K$14:$P$14</definedName>
    <definedName name="ttSheet" localSheetId="4">sSalesFilter!$K$14:$P$14</definedName>
  </definedNames>
  <calcPr calcId="191029" iterateCount="1" calcOnSave="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4" i="18" l="1"/>
  <c r="J34" i="18" s="1"/>
  <c r="P50" i="18"/>
  <c r="J50" i="18" s="1"/>
  <c r="I50" i="18"/>
  <c r="G50" i="18"/>
  <c r="P49" i="18"/>
  <c r="J49" i="18" s="1"/>
  <c r="I49" i="18"/>
  <c r="G49" i="18"/>
  <c r="P48" i="18"/>
  <c r="J48" i="18" s="1"/>
  <c r="I48" i="18"/>
  <c r="G48" i="18"/>
  <c r="P47" i="18"/>
  <c r="J47" i="18" s="1"/>
  <c r="I47" i="18"/>
  <c r="G47" i="18"/>
  <c r="P46" i="18"/>
  <c r="J46" i="18" s="1"/>
  <c r="I46" i="18"/>
  <c r="G46" i="18"/>
  <c r="P45" i="18"/>
  <c r="J45" i="18" s="1"/>
  <c r="I45" i="18"/>
  <c r="G45" i="18"/>
  <c r="P44" i="18"/>
  <c r="J44" i="18" s="1"/>
  <c r="I44" i="18"/>
  <c r="G44" i="18"/>
  <c r="P43" i="18"/>
  <c r="J43" i="18" s="1"/>
  <c r="I43" i="18"/>
  <c r="G43" i="18"/>
  <c r="P42" i="18"/>
  <c r="J42" i="18" s="1"/>
  <c r="I42" i="18"/>
  <c r="G42" i="18"/>
  <c r="P41" i="18"/>
  <c r="J41" i="18" s="1"/>
  <c r="I41" i="18"/>
  <c r="G41" i="18"/>
  <c r="P40" i="18"/>
  <c r="J40" i="18" s="1"/>
  <c r="I40" i="18"/>
  <c r="G40" i="18"/>
  <c r="P39" i="18"/>
  <c r="J39" i="18" s="1"/>
  <c r="I39" i="18"/>
  <c r="G39" i="18"/>
  <c r="P38" i="18"/>
  <c r="J38" i="18" s="1"/>
  <c r="I38" i="18"/>
  <c r="G38" i="18"/>
  <c r="P37" i="18"/>
  <c r="J37" i="18" s="1"/>
  <c r="I37" i="18"/>
  <c r="G37" i="18"/>
  <c r="P36" i="18"/>
  <c r="J36" i="18" s="1"/>
  <c r="I36" i="18"/>
  <c r="G36" i="18"/>
  <c r="P35" i="18"/>
  <c r="J35" i="18" s="1"/>
  <c r="I35" i="18"/>
  <c r="G35" i="18"/>
  <c r="I34" i="18"/>
  <c r="G34" i="18"/>
  <c r="P33" i="18"/>
  <c r="J33" i="18" s="1"/>
  <c r="I33" i="18"/>
  <c r="G33" i="18"/>
  <c r="P32" i="18"/>
  <c r="I32" i="18"/>
  <c r="G32" i="18"/>
  <c r="P31" i="18"/>
  <c r="J31" i="18" s="1"/>
  <c r="I31" i="18"/>
  <c r="G31" i="18"/>
  <c r="P30" i="18"/>
  <c r="J30" i="18" s="1"/>
  <c r="I30" i="18"/>
  <c r="G30" i="18"/>
  <c r="P29" i="18"/>
  <c r="J29" i="18" s="1"/>
  <c r="I29" i="18"/>
  <c r="G29" i="18"/>
  <c r="P28" i="18"/>
  <c r="J28" i="18" s="1"/>
  <c r="I28" i="18"/>
  <c r="G28" i="18"/>
  <c r="P27" i="18"/>
  <c r="J27" i="18" s="1"/>
  <c r="I27" i="18"/>
  <c r="G27" i="18"/>
  <c r="P26" i="18"/>
  <c r="J26" i="18" s="1"/>
  <c r="I26" i="18"/>
  <c r="G26" i="18"/>
  <c r="P25" i="18"/>
  <c r="J25" i="18" s="1"/>
  <c r="I25" i="18"/>
  <c r="G25" i="18"/>
  <c r="P24" i="18"/>
  <c r="J24" i="18" s="1"/>
  <c r="I24" i="18"/>
  <c r="G24" i="18"/>
  <c r="P23" i="18"/>
  <c r="J23" i="18" s="1"/>
  <c r="I23" i="18"/>
  <c r="G23" i="18"/>
  <c r="P22" i="18"/>
  <c r="J22" i="18" s="1"/>
  <c r="I22" i="18"/>
  <c r="G22" i="18"/>
  <c r="P21" i="18"/>
  <c r="J21" i="18" s="1"/>
  <c r="I21" i="18"/>
  <c r="G21" i="18"/>
  <c r="P20" i="18"/>
  <c r="J20" i="18" s="1"/>
  <c r="I20" i="18"/>
  <c r="G20" i="18"/>
  <c r="P19" i="18"/>
  <c r="J19" i="18" s="1"/>
  <c r="I19" i="18"/>
  <c r="G19" i="18"/>
  <c r="P18" i="18"/>
  <c r="J18" i="18" s="1"/>
  <c r="I18" i="18"/>
  <c r="G18" i="18"/>
  <c r="P17" i="18"/>
  <c r="J17" i="18" s="1"/>
  <c r="I17" i="18"/>
  <c r="G17" i="18"/>
  <c r="P16" i="18"/>
  <c r="J16" i="18" s="1"/>
  <c r="I16" i="18"/>
  <c r="G16" i="18"/>
  <c r="P15" i="18"/>
  <c r="I15" i="18"/>
  <c r="G15" i="18"/>
  <c r="K13" i="18"/>
  <c r="P8" i="18"/>
  <c r="J8" i="18" s="1"/>
  <c r="I8" i="18"/>
  <c r="G8" i="18"/>
  <c r="H8" i="18" l="1"/>
  <c r="H49" i="18"/>
  <c r="H16" i="18"/>
  <c r="H24" i="18"/>
  <c r="H32" i="18"/>
  <c r="H40" i="18"/>
  <c r="H48" i="18"/>
  <c r="H20" i="18"/>
  <c r="H28" i="18"/>
  <c r="H36" i="18"/>
  <c r="H44" i="18"/>
  <c r="J32" i="18"/>
  <c r="H18" i="18"/>
  <c r="H22" i="18"/>
  <c r="H46" i="18"/>
  <c r="H50" i="18"/>
  <c r="H15" i="18"/>
  <c r="H19" i="18"/>
  <c r="H23" i="18"/>
  <c r="H27" i="18"/>
  <c r="H31" i="18"/>
  <c r="H35" i="18"/>
  <c r="H39" i="18"/>
  <c r="H43" i="18"/>
  <c r="H47" i="18"/>
  <c r="H26" i="18"/>
  <c r="H30" i="18"/>
  <c r="H34" i="18"/>
  <c r="H38" i="18"/>
  <c r="H42" i="18"/>
  <c r="J15" i="18"/>
  <c r="H17" i="18"/>
  <c r="H21" i="18"/>
  <c r="H25" i="18"/>
  <c r="H29" i="18"/>
  <c r="H33" i="18"/>
  <c r="H37" i="18"/>
  <c r="H41" i="18"/>
  <c r="H45" i="18"/>
  <c r="P50" i="17"/>
  <c r="J50" i="17" s="1"/>
  <c r="I50" i="17"/>
  <c r="G50" i="17"/>
  <c r="P49" i="17"/>
  <c r="J49" i="17" s="1"/>
  <c r="I49" i="17"/>
  <c r="G49" i="17"/>
  <c r="P48" i="17"/>
  <c r="J48" i="17" s="1"/>
  <c r="I48" i="17"/>
  <c r="G48" i="17"/>
  <c r="P47" i="17"/>
  <c r="J47" i="17" s="1"/>
  <c r="I47" i="17"/>
  <c r="G47" i="17"/>
  <c r="P46" i="17"/>
  <c r="J46" i="17" s="1"/>
  <c r="I46" i="17"/>
  <c r="G46" i="17"/>
  <c r="P45" i="17"/>
  <c r="J45" i="17" s="1"/>
  <c r="I45" i="17"/>
  <c r="G45" i="17"/>
  <c r="P44" i="17"/>
  <c r="J44" i="17" s="1"/>
  <c r="I44" i="17"/>
  <c r="G44" i="17"/>
  <c r="P43" i="17"/>
  <c r="J43" i="17" s="1"/>
  <c r="I43" i="17"/>
  <c r="G43" i="17"/>
  <c r="P42" i="17"/>
  <c r="J42" i="17" s="1"/>
  <c r="I42" i="17"/>
  <c r="G42" i="17"/>
  <c r="P41" i="17"/>
  <c r="J41" i="17" s="1"/>
  <c r="I41" i="17"/>
  <c r="G41" i="17"/>
  <c r="P40" i="17"/>
  <c r="J40" i="17" s="1"/>
  <c r="I40" i="17"/>
  <c r="G40" i="17"/>
  <c r="P39" i="17"/>
  <c r="J39" i="17" s="1"/>
  <c r="I39" i="17"/>
  <c r="G39" i="17"/>
  <c r="P38" i="17"/>
  <c r="J38" i="17" s="1"/>
  <c r="I38" i="17"/>
  <c r="G38" i="17"/>
  <c r="P37" i="17"/>
  <c r="J37" i="17" s="1"/>
  <c r="I37" i="17"/>
  <c r="G37" i="17"/>
  <c r="P36" i="17"/>
  <c r="J36" i="17" s="1"/>
  <c r="I36" i="17"/>
  <c r="G36" i="17"/>
  <c r="P35" i="17"/>
  <c r="J35" i="17" s="1"/>
  <c r="I35" i="17"/>
  <c r="G35" i="17"/>
  <c r="P34" i="17"/>
  <c r="J34" i="17" s="1"/>
  <c r="I34" i="17"/>
  <c r="G34" i="17"/>
  <c r="P33" i="17"/>
  <c r="J33" i="17" s="1"/>
  <c r="I33" i="17"/>
  <c r="G33" i="17"/>
  <c r="P32" i="17"/>
  <c r="J32" i="17" s="1"/>
  <c r="I32" i="17"/>
  <c r="G32" i="17"/>
  <c r="P31" i="17"/>
  <c r="J31" i="17" s="1"/>
  <c r="I31" i="17"/>
  <c r="G31" i="17"/>
  <c r="P30" i="17"/>
  <c r="J30" i="17" s="1"/>
  <c r="I30" i="17"/>
  <c r="G30" i="17"/>
  <c r="P29" i="17"/>
  <c r="J29" i="17" s="1"/>
  <c r="I29" i="17"/>
  <c r="G29" i="17"/>
  <c r="P28" i="17"/>
  <c r="J28" i="17" s="1"/>
  <c r="I28" i="17"/>
  <c r="G28" i="17"/>
  <c r="P27" i="17"/>
  <c r="J27" i="17" s="1"/>
  <c r="I27" i="17"/>
  <c r="G27" i="17"/>
  <c r="P26" i="17"/>
  <c r="J26" i="17" s="1"/>
  <c r="I26" i="17"/>
  <c r="G26" i="17"/>
  <c r="P25" i="17"/>
  <c r="J25" i="17" s="1"/>
  <c r="I25" i="17"/>
  <c r="G25" i="17"/>
  <c r="P24" i="17"/>
  <c r="J24" i="17" s="1"/>
  <c r="I24" i="17"/>
  <c r="G24" i="17"/>
  <c r="P23" i="17"/>
  <c r="J23" i="17" s="1"/>
  <c r="I23" i="17"/>
  <c r="G23" i="17"/>
  <c r="P22" i="17"/>
  <c r="J22" i="17" s="1"/>
  <c r="I22" i="17"/>
  <c r="G22" i="17"/>
  <c r="P21" i="17"/>
  <c r="J21" i="17" s="1"/>
  <c r="I21" i="17"/>
  <c r="G21" i="17"/>
  <c r="P20" i="17"/>
  <c r="J20" i="17" s="1"/>
  <c r="I20" i="17"/>
  <c r="G20" i="17"/>
  <c r="P19" i="17"/>
  <c r="J19" i="17" s="1"/>
  <c r="I19" i="17"/>
  <c r="G19" i="17"/>
  <c r="P18" i="17"/>
  <c r="J18" i="17" s="1"/>
  <c r="I18" i="17"/>
  <c r="G18" i="17"/>
  <c r="P17" i="17"/>
  <c r="J17" i="17" s="1"/>
  <c r="I17" i="17"/>
  <c r="G17" i="17"/>
  <c r="P16" i="17"/>
  <c r="J16" i="17" s="1"/>
  <c r="I16" i="17"/>
  <c r="G16" i="17"/>
  <c r="P15" i="17"/>
  <c r="J15" i="17" s="1"/>
  <c r="I15" i="17"/>
  <c r="G15" i="17"/>
  <c r="K13" i="17"/>
  <c r="P8" i="17"/>
  <c r="H8" i="17" s="1"/>
  <c r="J8" i="17"/>
  <c r="I8" i="17"/>
  <c r="G8" i="17"/>
  <c r="H36" i="17" l="1"/>
  <c r="H37" i="17"/>
  <c r="H39" i="17"/>
  <c r="H40" i="17"/>
  <c r="H41" i="17"/>
  <c r="H28" i="17"/>
  <c r="H29" i="17"/>
  <c r="H31" i="17"/>
  <c r="H32" i="17"/>
  <c r="H33" i="17"/>
  <c r="H24" i="17"/>
  <c r="H25" i="17"/>
  <c r="H16" i="17"/>
  <c r="H17" i="17"/>
  <c r="H19" i="17"/>
  <c r="H20" i="17"/>
  <c r="H21" i="17"/>
  <c r="H44" i="17"/>
  <c r="H45" i="17"/>
  <c r="H47" i="17"/>
  <c r="H48" i="17"/>
  <c r="H49" i="17"/>
  <c r="H18" i="17"/>
  <c r="H22" i="17"/>
  <c r="H26" i="17"/>
  <c r="H30" i="17"/>
  <c r="H34" i="17"/>
  <c r="H38" i="17"/>
  <c r="H42" i="17"/>
  <c r="H46" i="17"/>
  <c r="H50" i="17"/>
  <c r="H15" i="17"/>
  <c r="H23" i="17"/>
  <c r="H27" i="17"/>
  <c r="H35" i="17"/>
  <c r="H43" i="17"/>
  <c r="P50" i="16"/>
  <c r="J50" i="16" s="1"/>
  <c r="I50" i="16"/>
  <c r="G50" i="16"/>
  <c r="P49" i="16"/>
  <c r="J49" i="16"/>
  <c r="I49" i="16"/>
  <c r="G49" i="16"/>
  <c r="P48" i="16"/>
  <c r="I48" i="16"/>
  <c r="G48" i="16"/>
  <c r="P47" i="16"/>
  <c r="J47" i="16"/>
  <c r="I47" i="16"/>
  <c r="G47" i="16"/>
  <c r="P46" i="16"/>
  <c r="J46" i="16"/>
  <c r="I46" i="16"/>
  <c r="G46" i="16"/>
  <c r="P45" i="16"/>
  <c r="J45" i="16"/>
  <c r="I45" i="16"/>
  <c r="G45" i="16"/>
  <c r="P44" i="16"/>
  <c r="J44" i="16"/>
  <c r="I44" i="16"/>
  <c r="G44" i="16"/>
  <c r="P43" i="16"/>
  <c r="I43" i="16"/>
  <c r="G43" i="16"/>
  <c r="P42" i="16"/>
  <c r="J42" i="16" s="1"/>
  <c r="I42" i="16"/>
  <c r="G42" i="16"/>
  <c r="P41" i="16"/>
  <c r="J41" i="16"/>
  <c r="I41" i="16"/>
  <c r="G41" i="16"/>
  <c r="P40" i="16"/>
  <c r="J40" i="16"/>
  <c r="I40" i="16"/>
  <c r="G40" i="16"/>
  <c r="P39" i="16"/>
  <c r="J39" i="16"/>
  <c r="I39" i="16"/>
  <c r="G39" i="16"/>
  <c r="P38" i="16"/>
  <c r="J38" i="16"/>
  <c r="I38" i="16"/>
  <c r="G38" i="16"/>
  <c r="P37" i="16"/>
  <c r="J37" i="16"/>
  <c r="I37" i="16"/>
  <c r="G37" i="16"/>
  <c r="P36" i="16"/>
  <c r="J36" i="16"/>
  <c r="I36" i="16"/>
  <c r="G36" i="16"/>
  <c r="P35" i="16"/>
  <c r="J35" i="16"/>
  <c r="I35" i="16"/>
  <c r="G35" i="16"/>
  <c r="P34" i="16"/>
  <c r="J34" i="16" s="1"/>
  <c r="I34" i="16"/>
  <c r="G34" i="16"/>
  <c r="P33" i="16"/>
  <c r="J33" i="16"/>
  <c r="I33" i="16"/>
  <c r="G33" i="16"/>
  <c r="P32" i="16"/>
  <c r="J32" i="16"/>
  <c r="I32" i="16"/>
  <c r="G32" i="16"/>
  <c r="P31" i="16"/>
  <c r="J31" i="16"/>
  <c r="I31" i="16"/>
  <c r="G31" i="16"/>
  <c r="P30" i="16"/>
  <c r="J30" i="16" s="1"/>
  <c r="I30" i="16"/>
  <c r="G30" i="16"/>
  <c r="P29" i="16"/>
  <c r="J29" i="16"/>
  <c r="I29" i="16"/>
  <c r="G29" i="16"/>
  <c r="P28" i="16"/>
  <c r="J28" i="16"/>
  <c r="I28" i="16"/>
  <c r="G28" i="16"/>
  <c r="P27" i="16"/>
  <c r="J27" i="16"/>
  <c r="I27" i="16"/>
  <c r="G27" i="16"/>
  <c r="P26" i="16"/>
  <c r="J26" i="16" s="1"/>
  <c r="I26" i="16"/>
  <c r="G26" i="16"/>
  <c r="P25" i="16"/>
  <c r="J25" i="16" s="1"/>
  <c r="I25" i="16"/>
  <c r="G25" i="16"/>
  <c r="P24" i="16"/>
  <c r="J24" i="16"/>
  <c r="I24" i="16"/>
  <c r="G24" i="16"/>
  <c r="P23" i="16"/>
  <c r="I23" i="16"/>
  <c r="G23" i="16"/>
  <c r="P22" i="16"/>
  <c r="J22" i="16" s="1"/>
  <c r="I22" i="16"/>
  <c r="G22" i="16"/>
  <c r="P21" i="16"/>
  <c r="J21" i="16"/>
  <c r="I21" i="16"/>
  <c r="G21" i="16"/>
  <c r="P20" i="16"/>
  <c r="J20" i="16"/>
  <c r="I20" i="16"/>
  <c r="G20" i="16"/>
  <c r="P19" i="16"/>
  <c r="J19" i="16"/>
  <c r="I19" i="16"/>
  <c r="G19" i="16"/>
  <c r="P18" i="16"/>
  <c r="J18" i="16"/>
  <c r="I18" i="16"/>
  <c r="G18" i="16"/>
  <c r="P17" i="16"/>
  <c r="H17" i="16" s="1"/>
  <c r="J17" i="16"/>
  <c r="I17" i="16"/>
  <c r="G17" i="16"/>
  <c r="P16" i="16"/>
  <c r="H16" i="16" s="1"/>
  <c r="J16" i="16"/>
  <c r="I16" i="16"/>
  <c r="G16" i="16"/>
  <c r="P15" i="16"/>
  <c r="H15" i="16" s="1"/>
  <c r="I15" i="16"/>
  <c r="G15" i="16"/>
  <c r="K13" i="16"/>
  <c r="P8" i="16"/>
  <c r="J8" i="16"/>
  <c r="I8" i="16"/>
  <c r="H8" i="16"/>
  <c r="G8" i="16"/>
  <c r="H23" i="16" l="1"/>
  <c r="H44" i="16"/>
  <c r="H47" i="16"/>
  <c r="H48" i="16"/>
  <c r="H19" i="16"/>
  <c r="H38" i="16"/>
  <c r="H43" i="16"/>
  <c r="H46" i="16"/>
  <c r="H36" i="16"/>
  <c r="H39" i="16"/>
  <c r="H40" i="16"/>
  <c r="H24" i="16"/>
  <c r="H18" i="16"/>
  <c r="H20" i="16"/>
  <c r="H35" i="16"/>
  <c r="H31" i="16"/>
  <c r="H32" i="16"/>
  <c r="J15" i="16"/>
  <c r="J23" i="16"/>
  <c r="H27" i="16"/>
  <c r="H28" i="16"/>
  <c r="J43" i="16"/>
  <c r="J48" i="16"/>
  <c r="H21" i="16"/>
  <c r="H25" i="16"/>
  <c r="H29" i="16"/>
  <c r="H33" i="16"/>
  <c r="H37" i="16"/>
  <c r="H41" i="16"/>
  <c r="H45" i="16"/>
  <c r="H49" i="16"/>
  <c r="H22" i="16"/>
  <c r="H26" i="16"/>
  <c r="H30" i="16"/>
  <c r="H34" i="16"/>
  <c r="H42" i="16"/>
  <c r="H50" i="16"/>
  <c r="K13" i="1"/>
  <c r="P50" i="1"/>
  <c r="P32" i="1"/>
  <c r="P49" i="1"/>
  <c r="P46" i="1"/>
  <c r="P36" i="1"/>
  <c r="P47" i="1"/>
  <c r="P45" i="1"/>
  <c r="P24" i="1"/>
  <c r="P38" i="1"/>
  <c r="P18" i="1"/>
  <c r="P35" i="1"/>
  <c r="P21" i="1"/>
  <c r="P23" i="1"/>
  <c r="P29" i="1"/>
  <c r="P16" i="1"/>
  <c r="P40" i="1"/>
  <c r="P48" i="1"/>
  <c r="P30" i="1"/>
  <c r="P42" i="1"/>
  <c r="P43" i="1"/>
  <c r="P15" i="1"/>
  <c r="P17" i="1"/>
  <c r="P28" i="1"/>
  <c r="P20" i="1"/>
  <c r="P34" i="1"/>
  <c r="P22" i="1"/>
  <c r="P19" i="1"/>
  <c r="P37" i="1"/>
  <c r="P44" i="1"/>
  <c r="P25" i="1"/>
  <c r="P31" i="1"/>
  <c r="P41" i="1"/>
  <c r="P26" i="1"/>
  <c r="P39" i="1"/>
  <c r="P33" i="1"/>
  <c r="P27" i="1"/>
  <c r="P8" i="1"/>
  <c r="B12" i="5"/>
  <c r="A2" i="5"/>
  <c r="A2" i="6"/>
  <c r="A3" i="6"/>
  <c r="C8" i="6"/>
  <c r="C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Oulton</author>
  </authors>
  <commentList>
    <comment ref="A20" authorId="0" shapeId="0" xr:uid="{00000000-0006-0000-0000-000001000000}">
      <text>
        <r>
          <rPr>
            <sz val="8"/>
            <color indexed="81"/>
            <rFont val="Tahoma"/>
            <family val="2"/>
          </rPr>
          <t>If this is the start workbook, these are solely external sources to the application.
Otherwise, it is all sources (other workbooks and sources).</t>
        </r>
      </text>
    </comment>
    <comment ref="A21" authorId="0" shapeId="0" xr:uid="{00000000-0006-0000-0000-000002000000}">
      <text>
        <r>
          <rPr>
            <sz val="8"/>
            <color indexed="81"/>
            <rFont val="Tahoma"/>
            <family val="2"/>
          </rPr>
          <t>If this is the start workbook, these are solely external destinations of the application.
Otherwise, it is all destinations (other workbooks and external destinations).</t>
        </r>
      </text>
    </comment>
    <comment ref="A22" authorId="0" shapeId="0" xr:uid="{00000000-0006-0000-0000-000003000000}">
      <text>
        <r>
          <rPr>
            <sz val="8"/>
            <color indexed="81"/>
            <rFont val="Tahoma"/>
            <family val="2"/>
          </rPr>
          <t>First file to open in a multi-workbook application.</t>
        </r>
      </text>
    </comment>
    <comment ref="A23" authorId="0" shapeId="0" xr:uid="{00000000-0006-0000-0000-000004000000}">
      <text>
        <r>
          <rPr>
            <sz val="8"/>
            <color indexed="81"/>
            <rFont val="Tahoma"/>
            <family val="2"/>
          </rPr>
          <t>Names of workbooks. This is essential for start workbook only .</t>
        </r>
      </text>
    </comment>
    <comment ref="A25" authorId="0" shapeId="0" xr:uid="{00000000-0006-0000-0000-000005000000}">
      <text>
        <r>
          <rPr>
            <sz val="8"/>
            <color indexed="81"/>
            <rFont val="Tahoma"/>
            <family val="2"/>
          </rPr>
          <t>If this workbook is start workbook, it is for entire application. Otherwise, it is for this workbook only.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Oulton</author>
  </authors>
  <commentList>
    <comment ref="A13" authorId="0" shapeId="0" xr:uid="{00000000-0006-0000-0100-000001000000}">
      <text>
        <r>
          <rPr>
            <sz val="8"/>
            <color indexed="81"/>
            <rFont val="Tahoma"/>
            <family val="2"/>
          </rPr>
          <t>Hide Web toolbar when file opens.</t>
        </r>
      </text>
    </comment>
  </commentList>
</comments>
</file>

<file path=xl/sharedStrings.xml><?xml version="1.0" encoding="utf-8"?>
<sst xmlns="http://schemas.openxmlformats.org/spreadsheetml/2006/main" count="548" uniqueCount="100">
  <si>
    <t>Key parameters</t>
  </si>
  <si>
    <t>Now</t>
  </si>
  <si>
    <t>Organisation name</t>
  </si>
  <si>
    <t>Procedures</t>
  </si>
  <si>
    <t>Application name</t>
  </si>
  <si>
    <t>File name</t>
  </si>
  <si>
    <t>Version</t>
  </si>
  <si>
    <t>References</t>
  </si>
  <si>
    <t>Files</t>
  </si>
  <si>
    <t>Crosscheck tolerance</t>
  </si>
  <si>
    <t>Crosscheck text</t>
  </si>
  <si>
    <t>Crosscheck error!</t>
  </si>
  <si>
    <t>Workbook purpose</t>
  </si>
  <si>
    <t>Who created/modified</t>
  </si>
  <si>
    <t>Guide</t>
  </si>
  <si>
    <t>Modifications</t>
  </si>
  <si>
    <t>Naming convention</t>
  </si>
  <si>
    <t>Data sources</t>
  </si>
  <si>
    <t>Data inputs</t>
  </si>
  <si>
    <t>Reports</t>
  </si>
  <si>
    <t>Outputs</t>
  </si>
  <si>
    <t>Input-Process-Output</t>
  </si>
  <si>
    <t>Process/Calcs</t>
  </si>
  <si>
    <t>Overview</t>
  </si>
  <si>
    <t>Application purpose</t>
  </si>
  <si>
    <t>Start workbook</t>
  </si>
  <si>
    <t>Data sourced from</t>
  </si>
  <si>
    <t>Data destined for</t>
  </si>
  <si>
    <t>Other application files</t>
  </si>
  <si>
    <t>Diagram of data flow</t>
  </si>
  <si>
    <t>HideWebToolbar</t>
  </si>
  <si>
    <t>Same as application.</t>
  </si>
  <si>
    <t>Usage tasks</t>
  </si>
  <si>
    <t>Maintenance tasks</t>
  </si>
  <si>
    <t>Paul Oulton</t>
  </si>
  <si>
    <t>Sales staff performance</t>
  </si>
  <si>
    <t>Columns used in calculations</t>
  </si>
  <si>
    <t>Count&amp;
Sales</t>
  </si>
  <si>
    <t>Count&amp;
Rank</t>
  </si>
  <si>
    <t>Sales</t>
  </si>
  <si>
    <t xml:space="preserve">% of target </t>
  </si>
  <si>
    <t>Rep</t>
  </si>
  <si>
    <t>Team</t>
  </si>
  <si>
    <t>Office</t>
  </si>
  <si>
    <t>Target</t>
  </si>
  <si>
    <t>% of target</t>
  </si>
  <si>
    <t>Copy of formulae</t>
  </si>
  <si>
    <t>Leanne</t>
  </si>
  <si>
    <t>Telesales</t>
  </si>
  <si>
    <t>Auckland</t>
  </si>
  <si>
    <t>Ngahuia</t>
  </si>
  <si>
    <t>Hamilton</t>
  </si>
  <si>
    <t>Janet</t>
  </si>
  <si>
    <t>SMO</t>
  </si>
  <si>
    <t>Dunedin</t>
  </si>
  <si>
    <t>Kelly</t>
  </si>
  <si>
    <t>Amanda</t>
  </si>
  <si>
    <t>Joshua</t>
  </si>
  <si>
    <t>Key accounts</t>
  </si>
  <si>
    <t>Wellington</t>
  </si>
  <si>
    <t>Ernie</t>
  </si>
  <si>
    <t>Roger</t>
  </si>
  <si>
    <t>James</t>
  </si>
  <si>
    <t>Lyn</t>
  </si>
  <si>
    <t>Garfield</t>
  </si>
  <si>
    <t>Michael</t>
  </si>
  <si>
    <t>Evan</t>
  </si>
  <si>
    <t>Steve</t>
  </si>
  <si>
    <t>Samantha</t>
  </si>
  <si>
    <t>Hayden</t>
  </si>
  <si>
    <t>Bob</t>
  </si>
  <si>
    <t>Bert</t>
  </si>
  <si>
    <t>Briar</t>
  </si>
  <si>
    <t>Mamai</t>
  </si>
  <si>
    <t>Zoe</t>
  </si>
  <si>
    <t>Heremia</t>
  </si>
  <si>
    <t>Gary</t>
  </si>
  <si>
    <t>Nick</t>
  </si>
  <si>
    <t>Helen</t>
  </si>
  <si>
    <t>Elaine</t>
  </si>
  <si>
    <t>Scott</t>
  </si>
  <si>
    <t>Christchurch</t>
  </si>
  <si>
    <t>Sarah</t>
  </si>
  <si>
    <t>Kanta</t>
  </si>
  <si>
    <t>Wendy</t>
  </si>
  <si>
    <t>Sam</t>
  </si>
  <si>
    <t>Raelene</t>
  </si>
  <si>
    <t>Ron</t>
  </si>
  <si>
    <t>Thomas</t>
  </si>
  <si>
    <t>Anne</t>
  </si>
  <si>
    <t>Mike</t>
  </si>
  <si>
    <t xml:space="preserve">Sales </t>
  </si>
  <si>
    <t>LobeLaw Ltd</t>
  </si>
  <si>
    <t>Sales performance</t>
  </si>
  <si>
    <t>PctOfTarg</t>
  </si>
  <si>
    <t>Sales target</t>
  </si>
  <si>
    <t>Period</t>
  </si>
  <si>
    <t>Filters and traffic light examples</t>
  </si>
  <si>
    <t>09-May-2014A</t>
  </si>
  <si>
    <t>2024 Q4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</si>
</sst>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64" formatCode="#,##0_);\(#,##0\);0_);* @_)"/>
    <numFmt numFmtId="165" formatCode="#,##0.0_);\(#,##0.0\);0.0_);* @_)"/>
    <numFmt numFmtId="166" formatCode="#,##0.00_);\(#,##0.00\);0.00_);* @_)"/>
    <numFmt numFmtId="167" formatCode="#,##0.000_);\(#,##0.000\);0.000_);* @_)"/>
    <numFmt numFmtId="168" formatCode="#,##0.0000_);\(#,##0.0000\);0.0000_);* @_)"/>
    <numFmt numFmtId="169" formatCode="0;\-0;0;* @"/>
    <numFmt numFmtId="170" formatCode="0%;\-0%;0%;* @_%"/>
    <numFmt numFmtId="171" formatCode="0.0%;\-0.0%;0.0%;* @_%"/>
    <numFmt numFmtId="172" formatCode="0.00%;\-0.00%;0.00%;* @_%"/>
    <numFmt numFmtId="173" formatCode="0.000%;\-0.000%;0.000%;* @_%"/>
    <numFmt numFmtId="174" formatCode="d\-mmm\-yyyy;[Red]&quot;Not date&quot;;&quot;-&quot;;[Red]* &quot;Not date&quot;"/>
    <numFmt numFmtId="175" formatCode="d\-mmm\-yyyy\ h:mm\ AM/PM;[Red]* &quot;Not date&quot;;&quot;-&quot;;[Red]* &quot;Not date&quot;"/>
    <numFmt numFmtId="176" formatCode="d/mm/yyyy;[Red]* &quot;Not date&quot;;&quot;-&quot;;[Red]* &quot;Not date&quot;"/>
    <numFmt numFmtId="177" formatCode="mmm\-yy;[Red]* &quot;Not date&quot;;&quot;-&quot;;[Red]* &quot;Not date&quot;"/>
    <numFmt numFmtId="178" formatCode="h:mm\ AM/PM;[Red]* &quot;Not time&quot;;\-;[Red]* &quot;Not time&quot;"/>
    <numFmt numFmtId="179" formatCode="[h]:mm;[Red]* &quot;Not time&quot;;[h]:mm;[Red]* &quot;Not time&quot;"/>
    <numFmt numFmtId="180" formatCode="d\-mmm\-yyyy;[Red]* &quot;Not date&quot;;&quot;-&quot;;[Red]* &quot;Not date&quot;"/>
    <numFmt numFmtId="181" formatCode="d\-mmm\-yyyy\ h:mm\ AM/PM;[Red]* &quot;Not time&quot;;0;[Red]* &quot;Not time&quot;"/>
    <numFmt numFmtId="182" formatCode="mm/dd/yyyy;[Red]* &quot;Not date&quot;;&quot;-&quot;;[Red]* &quot;Not date&quot;"/>
    <numFmt numFmtId="183" formatCode="d\-mmm;[Red]&quot;Not date&quot;;&quot;-&quot;;[Red]* &quot;Not date&quot;"/>
    <numFmt numFmtId="184" formatCode="#,##0,_);\(#,##0,\);0_);* @_)"/>
    <numFmt numFmtId="185" formatCode="#,##0,,_);\(#,##0,,\);0_);* @_)"/>
    <numFmt numFmtId="186" formatCode="\$* #,##0_);\$* \(#,##0\);\$* 0_);* @_)"/>
    <numFmt numFmtId="187" formatCode="\$* #,##0,_);\$* \(#,##0,\);\$* 0_);* @_)"/>
    <numFmt numFmtId="188" formatCode="\$* #,##0,,_);\$* \(#,##0,,\);\$* 0_);* @_)"/>
    <numFmt numFmtId="189" formatCode="\$* #,##0.0_);\$* \(#,##0.0\);\$* 0.0_);* @_)"/>
    <numFmt numFmtId="190" formatCode="\$* #,##0.00_);\$* \(#,##0.00\);\$* 0.00_);* @_)"/>
    <numFmt numFmtId="191" formatCode="\$* #,##0.000_);\$* \(#,##0.000\);\$* 0.000_);* @_)"/>
    <numFmt numFmtId="192" formatCode="\$* #,##0.0000_);\$* \(#,##0.0000\);\$* 0.0000_);* @_)"/>
  </numFmts>
  <fonts count="14" x14ac:knownFonts="1">
    <font>
      <sz val="8"/>
      <name val="Arial"/>
      <family val="2"/>
    </font>
    <font>
      <sz val="8"/>
      <color indexed="81"/>
      <name val="Tahoma"/>
      <family val="2"/>
    </font>
    <font>
      <b/>
      <sz val="8"/>
      <name val="Arial"/>
      <family val="2"/>
    </font>
    <font>
      <sz val="8"/>
      <color indexed="12"/>
      <name val="Arial"/>
      <family val="2"/>
    </font>
    <font>
      <sz val="8"/>
      <name val="Arial"/>
      <family val="2"/>
    </font>
    <font>
      <sz val="8"/>
      <color indexed="8"/>
      <name val="Arial"/>
      <family val="2"/>
    </font>
    <font>
      <b/>
      <sz val="14"/>
      <color indexed="63"/>
      <name val="Arial"/>
      <family val="2"/>
    </font>
    <font>
      <b/>
      <sz val="12"/>
      <color indexed="63"/>
      <name val="Arial"/>
      <family val="2"/>
    </font>
    <font>
      <b/>
      <sz val="10"/>
      <color indexed="63"/>
      <name val="Arial"/>
      <family val="2"/>
    </font>
    <font>
      <b/>
      <sz val="8"/>
      <color indexed="63"/>
      <name val="Arial"/>
      <family val="2"/>
    </font>
    <font>
      <u/>
      <sz val="8"/>
      <color indexed="12"/>
      <name val="Arial"/>
      <family val="2"/>
    </font>
    <font>
      <b/>
      <sz val="8"/>
      <color indexed="12"/>
      <name val="Arial"/>
      <family val="2"/>
    </font>
    <font>
      <sz val="8"/>
      <color indexed="63"/>
      <name val="Arial"/>
      <family val="2"/>
    </font>
    <font>
      <b/>
      <sz val="12"/>
      <name val="Arial"/>
      <family val="2"/>
    </font>
  </fonts>
  <fills count="9">
    <fill>
      <patternFill patternType="none"/>
    </fill>
    <fill>
      <patternFill patternType="gray125"/>
    </fill>
    <fill>
      <patternFill patternType="solid">
        <fgColor indexed="42"/>
        <bgColor indexed="64"/>
      </patternFill>
    </fill>
    <fill>
      <patternFill patternType="solid">
        <fgColor indexed="23"/>
        <bgColor indexed="64"/>
      </patternFill>
    </fill>
    <fill>
      <patternFill patternType="solid">
        <fgColor indexed="62"/>
        <bgColor indexed="64"/>
      </patternFill>
    </fill>
    <fill>
      <patternFill patternType="solid">
        <fgColor indexed="2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2" tint="-9.9978637043366805E-2"/>
        <bgColor indexed="64"/>
      </patternFill>
    </fill>
  </fills>
  <borders count="9">
    <border>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s>
  <cellStyleXfs count="91">
    <xf numFmtId="0" fontId="0" fillId="0" borderId="0" applyFill="0" applyBorder="0"/>
    <xf numFmtId="164" fontId="4" fillId="0" borderId="0" applyFill="0" applyBorder="0">
      <alignment vertical="top"/>
    </xf>
    <xf numFmtId="184" fontId="4" fillId="0" borderId="0" applyFill="0" applyBorder="0">
      <alignment vertical="top"/>
    </xf>
    <xf numFmtId="185" fontId="4" fillId="0" borderId="0" applyFill="0" applyBorder="0">
      <alignment vertical="top"/>
    </xf>
    <xf numFmtId="165" fontId="4" fillId="0" borderId="0" applyFill="0" applyBorder="0">
      <alignment vertical="top"/>
    </xf>
    <xf numFmtId="166" fontId="4" fillId="0" borderId="0" applyFill="0" applyBorder="0">
      <alignment vertical="top"/>
    </xf>
    <xf numFmtId="167" fontId="4" fillId="0" borderId="0" applyFill="0" applyBorder="0">
      <alignment vertical="top"/>
    </xf>
    <xf numFmtId="168" fontId="4" fillId="0" borderId="0" applyFill="0" applyBorder="0">
      <alignment vertical="top"/>
    </xf>
    <xf numFmtId="183" fontId="4" fillId="0" borderId="0" applyFill="0" applyBorder="0">
      <alignment vertical="top"/>
    </xf>
    <xf numFmtId="174" fontId="4" fillId="0" borderId="0" applyFill="0" applyBorder="0">
      <alignment vertical="top"/>
    </xf>
    <xf numFmtId="175" fontId="4" fillId="0" borderId="0" applyFill="0" applyBorder="0">
      <alignment vertical="top"/>
    </xf>
    <xf numFmtId="176" fontId="4" fillId="0" borderId="0" applyFill="0" applyBorder="0">
      <alignment vertical="top"/>
    </xf>
    <xf numFmtId="182" fontId="4" fillId="0" borderId="0" applyFill="0" applyBorder="0">
      <alignment vertical="top"/>
    </xf>
    <xf numFmtId="177" fontId="4" fillId="0" borderId="0" applyFill="0" applyBorder="0">
      <alignment vertical="top"/>
    </xf>
    <xf numFmtId="177" fontId="4" fillId="0" borderId="0" applyFill="0" applyBorder="0">
      <alignment horizontal="center" vertical="top"/>
    </xf>
    <xf numFmtId="169" fontId="4" fillId="0" borderId="0" applyFill="0" applyBorder="0">
      <alignment vertical="top"/>
    </xf>
    <xf numFmtId="178" fontId="4" fillId="0" borderId="0" applyFill="0" applyBorder="0">
      <alignment vertical="top"/>
    </xf>
    <xf numFmtId="179" fontId="4" fillId="0" borderId="0" applyFill="0" applyBorder="0">
      <alignment vertical="top"/>
    </xf>
    <xf numFmtId="170" fontId="4" fillId="0" borderId="0" applyFill="0" applyBorder="0">
      <alignment vertical="top"/>
    </xf>
    <xf numFmtId="171" fontId="5" fillId="0" borderId="0" applyFill="0" applyBorder="0">
      <alignment vertical="top"/>
    </xf>
    <xf numFmtId="172" fontId="4" fillId="0" borderId="0" applyFill="0" applyBorder="0">
      <alignment vertical="top"/>
    </xf>
    <xf numFmtId="173" fontId="4" fillId="0" borderId="0" applyFill="0" applyBorder="0">
      <alignment vertical="top"/>
    </xf>
    <xf numFmtId="186" fontId="4" fillId="0" borderId="0" applyFill="0" applyBorder="0">
      <alignment vertical="top"/>
    </xf>
    <xf numFmtId="187" fontId="4" fillId="0" borderId="0" applyFill="0" applyBorder="0">
      <alignment vertical="top"/>
    </xf>
    <xf numFmtId="188" fontId="4" fillId="0" borderId="0" applyFill="0" applyBorder="0">
      <alignment vertical="top"/>
    </xf>
    <xf numFmtId="189" fontId="4" fillId="0" borderId="0" applyFill="0" applyBorder="0">
      <alignment vertical="top"/>
    </xf>
    <xf numFmtId="190" fontId="4" fillId="0" borderId="0" applyFill="0" applyBorder="0">
      <alignment vertical="top"/>
    </xf>
    <xf numFmtId="191" fontId="4" fillId="0" borderId="0" applyFill="0" applyBorder="0">
      <alignment vertical="top"/>
    </xf>
    <xf numFmtId="192" fontId="4" fillId="0" borderId="0" applyFill="0" applyBorder="0">
      <alignment vertical="top"/>
    </xf>
    <xf numFmtId="0" fontId="6" fillId="0" borderId="0" applyFill="0" applyBorder="0">
      <alignment vertical="top"/>
    </xf>
    <xf numFmtId="0" fontId="7" fillId="0" borderId="0" applyFill="0" applyBorder="0">
      <alignment vertical="top"/>
    </xf>
    <xf numFmtId="0" fontId="8" fillId="0" borderId="0" applyFill="0" applyBorder="0">
      <alignment vertical="top"/>
    </xf>
    <xf numFmtId="0" fontId="9" fillId="0" borderId="0" applyFill="0" applyBorder="0">
      <alignment vertical="top"/>
    </xf>
    <xf numFmtId="0" fontId="10" fillId="0" borderId="0" applyFill="0" applyBorder="0">
      <alignment horizontal="left" vertical="top"/>
      <protection hidden="1"/>
    </xf>
    <xf numFmtId="0" fontId="10" fillId="0" borderId="0" applyFill="0" applyBorder="0">
      <alignment horizontal="left" vertical="top" indent="1"/>
      <protection hidden="1"/>
    </xf>
    <xf numFmtId="0" fontId="10" fillId="0" borderId="0" applyFill="0" applyBorder="0">
      <alignment horizontal="left" vertical="top" indent="2"/>
      <protection hidden="1"/>
    </xf>
    <xf numFmtId="0" fontId="10" fillId="0" borderId="0" applyFill="0" applyBorder="0">
      <alignment horizontal="left" vertical="top" indent="3"/>
      <protection hidden="1"/>
    </xf>
    <xf numFmtId="164" fontId="3" fillId="0" borderId="0" applyFill="0" applyBorder="0">
      <alignment vertical="top"/>
      <protection locked="0"/>
    </xf>
    <xf numFmtId="184" fontId="3" fillId="0" borderId="0" applyFill="0" applyBorder="0">
      <alignment vertical="top"/>
      <protection locked="0"/>
    </xf>
    <xf numFmtId="185" fontId="3" fillId="0" borderId="0" applyFill="0" applyBorder="0">
      <alignment vertical="top"/>
      <protection locked="0"/>
    </xf>
    <xf numFmtId="165" fontId="3" fillId="0" borderId="0" applyFill="0" applyBorder="0">
      <alignment vertical="top"/>
      <protection locked="0"/>
    </xf>
    <xf numFmtId="166" fontId="3" fillId="0" borderId="0" applyFill="0" applyBorder="0">
      <alignment vertical="top"/>
      <protection locked="0"/>
    </xf>
    <xf numFmtId="167" fontId="3" fillId="0" borderId="0" applyFill="0" applyBorder="0">
      <alignment vertical="top"/>
      <protection locked="0"/>
    </xf>
    <xf numFmtId="168" fontId="3" fillId="0" borderId="0" applyFill="0" applyBorder="0">
      <alignment vertical="top"/>
      <protection locked="0"/>
    </xf>
    <xf numFmtId="183" fontId="3" fillId="0" borderId="0" applyFill="0" applyBorder="0">
      <alignment vertical="top"/>
      <protection locked="0"/>
    </xf>
    <xf numFmtId="180" fontId="3" fillId="0" borderId="0" applyFill="0" applyBorder="0">
      <alignment vertical="top"/>
      <protection locked="0"/>
    </xf>
    <xf numFmtId="181" fontId="3" fillId="0" borderId="0" applyFill="0" applyBorder="0">
      <alignment vertical="top"/>
      <protection locked="0"/>
    </xf>
    <xf numFmtId="176" fontId="3" fillId="0" borderId="0" applyFill="0" applyBorder="0">
      <alignment vertical="top"/>
      <protection locked="0"/>
    </xf>
    <xf numFmtId="182" fontId="3" fillId="0" borderId="0" applyFill="0" applyBorder="0">
      <alignment vertical="top"/>
      <protection locked="0"/>
    </xf>
    <xf numFmtId="177" fontId="3" fillId="0" borderId="0" applyFill="0" applyBorder="0">
      <alignment vertical="top"/>
      <protection locked="0"/>
    </xf>
    <xf numFmtId="169" fontId="3" fillId="0" borderId="0" applyFill="0" applyBorder="0">
      <alignment vertical="top"/>
      <protection locked="0"/>
    </xf>
    <xf numFmtId="169" fontId="11" fillId="0" borderId="0" applyFill="0" applyBorder="0">
      <alignment vertical="top"/>
      <protection locked="0"/>
    </xf>
    <xf numFmtId="169" fontId="3" fillId="0" borderId="0" applyFill="0" applyBorder="0">
      <alignment vertical="top"/>
      <protection locked="0"/>
    </xf>
    <xf numFmtId="49" fontId="3" fillId="0" borderId="0" applyFill="0" applyBorder="0">
      <alignment vertical="top"/>
      <protection locked="0"/>
    </xf>
    <xf numFmtId="49" fontId="11" fillId="0" borderId="0" applyFill="0" applyBorder="0">
      <alignment vertical="top"/>
      <protection locked="0"/>
    </xf>
    <xf numFmtId="0" fontId="3" fillId="0" borderId="0" applyFill="0" applyBorder="0">
      <alignment vertical="top" wrapText="1"/>
      <protection locked="0"/>
    </xf>
    <xf numFmtId="178" fontId="3" fillId="0" borderId="0" applyFill="0" applyBorder="0">
      <alignment vertical="top"/>
      <protection locked="0"/>
    </xf>
    <xf numFmtId="179" fontId="3" fillId="0" borderId="0" applyFill="0" applyBorder="0">
      <alignment vertical="top"/>
      <protection locked="0"/>
    </xf>
    <xf numFmtId="170" fontId="3" fillId="0" borderId="0" applyFill="0" applyBorder="0">
      <alignment vertical="top"/>
      <protection locked="0"/>
    </xf>
    <xf numFmtId="171" fontId="3" fillId="0" borderId="0" applyFill="0" applyBorder="0">
      <alignment vertical="top"/>
      <protection locked="0"/>
    </xf>
    <xf numFmtId="172" fontId="3" fillId="0" borderId="0" applyFill="0" applyBorder="0">
      <alignment vertical="top"/>
      <protection locked="0"/>
    </xf>
    <xf numFmtId="173" fontId="3" fillId="0" borderId="0" applyFill="0" applyBorder="0">
      <alignment vertical="top"/>
      <protection locked="0"/>
    </xf>
    <xf numFmtId="186" fontId="3" fillId="0" borderId="0" applyFill="0" applyBorder="0">
      <alignment vertical="top"/>
      <protection locked="0"/>
    </xf>
    <xf numFmtId="187" fontId="3" fillId="0" borderId="0" applyFill="0" applyBorder="0">
      <alignment vertical="top"/>
      <protection locked="0"/>
    </xf>
    <xf numFmtId="188" fontId="3" fillId="0" borderId="0" applyFill="0" applyBorder="0">
      <alignment vertical="top"/>
      <protection locked="0"/>
    </xf>
    <xf numFmtId="189" fontId="3" fillId="0" borderId="0" applyFill="0" applyBorder="0">
      <alignment vertical="top"/>
      <protection locked="0"/>
    </xf>
    <xf numFmtId="190" fontId="3" fillId="0" borderId="0" applyFill="0" applyBorder="0">
      <alignment vertical="top"/>
      <protection locked="0"/>
    </xf>
    <xf numFmtId="191" fontId="3" fillId="0" borderId="0" applyFill="0" applyBorder="0">
      <alignment vertical="top"/>
      <protection locked="0"/>
    </xf>
    <xf numFmtId="192" fontId="3" fillId="0" borderId="0" applyFill="0" applyBorder="0">
      <alignment vertical="top"/>
      <protection locked="0"/>
    </xf>
    <xf numFmtId="49" fontId="3" fillId="0" borderId="0" applyFill="0" applyBorder="0">
      <alignment horizontal="left" vertical="top"/>
      <protection locked="0"/>
    </xf>
    <xf numFmtId="49" fontId="3" fillId="0" borderId="0" applyFill="0" applyBorder="0">
      <alignment horizontal="left" vertical="top" indent="1"/>
      <protection locked="0"/>
    </xf>
    <xf numFmtId="49" fontId="3" fillId="0" borderId="0" applyFill="0" applyBorder="0">
      <alignment horizontal="left" vertical="top" indent="2"/>
      <protection locked="0"/>
    </xf>
    <xf numFmtId="49" fontId="3" fillId="0" borderId="0" applyFill="0" applyBorder="0">
      <alignment horizontal="left" vertical="top" indent="3"/>
      <protection locked="0"/>
    </xf>
    <xf numFmtId="49" fontId="3" fillId="0" borderId="0" applyFill="0" applyBorder="0">
      <alignment horizontal="left" vertical="top" indent="4"/>
      <protection locked="0"/>
    </xf>
    <xf numFmtId="49" fontId="3" fillId="0" borderId="0" applyFill="0" applyBorder="0">
      <alignment horizontal="center"/>
      <protection locked="0"/>
    </xf>
    <xf numFmtId="49" fontId="3" fillId="0" borderId="0" applyFill="0" applyBorder="0">
      <alignment horizontal="center" wrapText="1"/>
      <protection locked="0"/>
    </xf>
    <xf numFmtId="49" fontId="4" fillId="0" borderId="0" applyFill="0" applyBorder="0">
      <alignment vertical="top"/>
    </xf>
    <xf numFmtId="0" fontId="4" fillId="0" borderId="0" applyFill="0" applyBorder="0">
      <alignment vertical="top" wrapText="1"/>
    </xf>
    <xf numFmtId="0" fontId="2" fillId="0" borderId="0" applyFill="0" applyBorder="0">
      <alignment vertical="top"/>
    </xf>
    <xf numFmtId="0" fontId="2" fillId="0" borderId="0" applyFill="0" applyBorder="0">
      <alignment horizontal="left" vertical="top" indent="1"/>
    </xf>
    <xf numFmtId="0" fontId="2" fillId="0" borderId="0" applyFill="0" applyBorder="0">
      <alignment horizontal="left" vertical="top" indent="2"/>
    </xf>
    <xf numFmtId="0" fontId="2" fillId="0" borderId="0" applyFill="0" applyBorder="0">
      <alignment horizontal="left" vertical="top" indent="3"/>
    </xf>
    <xf numFmtId="0" fontId="4" fillId="0" borderId="0" applyFill="0" applyBorder="0">
      <alignment vertical="top"/>
    </xf>
    <xf numFmtId="0" fontId="4" fillId="0" borderId="0" applyFill="0" applyBorder="0">
      <alignment horizontal="left" vertical="top" indent="1"/>
    </xf>
    <xf numFmtId="0" fontId="4" fillId="0" borderId="0" applyFill="0" applyBorder="0">
      <alignment horizontal="left" vertical="top" indent="2"/>
    </xf>
    <xf numFmtId="0" fontId="4" fillId="0" borderId="0" applyFill="0" applyBorder="0">
      <alignment horizontal="left" vertical="top" indent="3"/>
    </xf>
    <xf numFmtId="0" fontId="4" fillId="0" borderId="0" applyFill="0" applyBorder="0">
      <alignment horizontal="left" vertical="top" indent="4"/>
    </xf>
    <xf numFmtId="177" fontId="12" fillId="0" borderId="0" applyFill="0" applyBorder="0">
      <alignment horizontal="center"/>
    </xf>
    <xf numFmtId="0" fontId="12" fillId="0" borderId="0" applyFill="0" applyBorder="0">
      <alignment horizontal="center"/>
    </xf>
    <xf numFmtId="0" fontId="12" fillId="2" borderId="0" applyFill="0" applyBorder="0">
      <alignment horizontal="left"/>
    </xf>
    <xf numFmtId="0" fontId="12" fillId="0" borderId="0" applyFill="0" applyBorder="0">
      <alignment horizontal="center" wrapText="1"/>
    </xf>
  </cellStyleXfs>
  <cellXfs count="59">
    <xf numFmtId="0" fontId="0" fillId="0" borderId="0" xfId="0"/>
    <xf numFmtId="0" fontId="0" fillId="0" borderId="1" xfId="0" applyBorder="1"/>
    <xf numFmtId="0" fontId="0" fillId="0" borderId="2" xfId="0" applyBorder="1"/>
    <xf numFmtId="0" fontId="0" fillId="0" borderId="3" xfId="0" applyBorder="1"/>
    <xf numFmtId="0" fontId="0" fillId="0" borderId="0" xfId="0" applyBorder="1"/>
    <xf numFmtId="0" fontId="0" fillId="0" borderId="4" xfId="0" applyBorder="1"/>
    <xf numFmtId="0" fontId="4" fillId="0" borderId="3" xfId="0" applyFont="1" applyBorder="1"/>
    <xf numFmtId="0" fontId="0" fillId="0" borderId="0" xfId="0" applyFill="1" applyBorder="1"/>
    <xf numFmtId="0" fontId="2" fillId="0" borderId="0" xfId="78">
      <alignment vertical="top"/>
    </xf>
    <xf numFmtId="0" fontId="4" fillId="0" borderId="0" xfId="83">
      <alignment horizontal="left" vertical="top" indent="1"/>
    </xf>
    <xf numFmtId="0" fontId="3" fillId="0" borderId="0" xfId="55">
      <alignment vertical="top" wrapText="1"/>
      <protection locked="0"/>
    </xf>
    <xf numFmtId="0" fontId="4" fillId="0" borderId="0" xfId="84">
      <alignment horizontal="left" vertical="top" indent="2"/>
    </xf>
    <xf numFmtId="0" fontId="4" fillId="0" borderId="0" xfId="83" applyBorder="1">
      <alignment horizontal="left" vertical="top" indent="1"/>
    </xf>
    <xf numFmtId="0" fontId="4" fillId="0" borderId="0" xfId="84" applyBorder="1">
      <alignment horizontal="left" vertical="top" indent="2"/>
    </xf>
    <xf numFmtId="49" fontId="3" fillId="0" borderId="0" xfId="69">
      <alignment horizontal="left" vertical="top"/>
      <protection locked="0"/>
    </xf>
    <xf numFmtId="0" fontId="2" fillId="0" borderId="0" xfId="78" applyBorder="1">
      <alignment vertical="top"/>
    </xf>
    <xf numFmtId="0" fontId="2" fillId="0" borderId="0" xfId="79" applyBorder="1">
      <alignment horizontal="left" vertical="top" indent="1"/>
    </xf>
    <xf numFmtId="168" fontId="3" fillId="0" borderId="1" xfId="43" applyBorder="1">
      <alignment vertical="top"/>
      <protection locked="0"/>
    </xf>
    <xf numFmtId="0" fontId="2" fillId="0" borderId="0" xfId="79">
      <alignment horizontal="left" vertical="top" indent="1"/>
    </xf>
    <xf numFmtId="0" fontId="7" fillId="3" borderId="5" xfId="30" applyFill="1" applyBorder="1">
      <alignment vertical="top"/>
    </xf>
    <xf numFmtId="0" fontId="0" fillId="3" borderId="6" xfId="0" applyFill="1" applyBorder="1"/>
    <xf numFmtId="0" fontId="0" fillId="3" borderId="7" xfId="0" applyFill="1" applyBorder="1"/>
    <xf numFmtId="0" fontId="7" fillId="3" borderId="3" xfId="30" applyFill="1" applyBorder="1">
      <alignment vertical="top"/>
    </xf>
    <xf numFmtId="0" fontId="0" fillId="3" borderId="0" xfId="0" applyFill="1" applyBorder="1"/>
    <xf numFmtId="0" fontId="0" fillId="3" borderId="1" xfId="0" applyFill="1" applyBorder="1"/>
    <xf numFmtId="0" fontId="2" fillId="3" borderId="3" xfId="0" applyFont="1" applyFill="1" applyBorder="1"/>
    <xf numFmtId="0" fontId="2" fillId="3" borderId="4" xfId="0" applyFont="1" applyFill="1" applyBorder="1"/>
    <xf numFmtId="0" fontId="0" fillId="3" borderId="2" xfId="0" applyFill="1" applyBorder="1"/>
    <xf numFmtId="0" fontId="12" fillId="3" borderId="3" xfId="89" applyFill="1" applyBorder="1">
      <alignment horizontal="left"/>
    </xf>
    <xf numFmtId="0" fontId="0" fillId="3" borderId="4" xfId="0" applyFill="1" applyBorder="1"/>
    <xf numFmtId="0" fontId="0" fillId="3" borderId="8" xfId="0" applyFill="1" applyBorder="1"/>
    <xf numFmtId="0" fontId="0" fillId="3" borderId="5" xfId="0" applyFill="1" applyBorder="1"/>
    <xf numFmtId="0" fontId="0" fillId="3" borderId="3" xfId="0" applyFill="1" applyBorder="1"/>
    <xf numFmtId="0" fontId="0" fillId="4" borderId="3" xfId="0" applyFill="1" applyBorder="1" applyAlignment="1">
      <alignment horizontal="centerContinuous"/>
    </xf>
    <xf numFmtId="0" fontId="0" fillId="4" borderId="0" xfId="0" applyFill="1" applyBorder="1" applyAlignment="1">
      <alignment horizontal="centerContinuous"/>
    </xf>
    <xf numFmtId="0" fontId="12" fillId="4" borderId="4" xfId="90" applyFill="1" applyBorder="1">
      <alignment horizontal="center" wrapText="1"/>
    </xf>
    <xf numFmtId="0" fontId="12" fillId="4" borderId="8" xfId="90" applyFill="1" applyBorder="1">
      <alignment horizontal="center" wrapText="1"/>
    </xf>
    <xf numFmtId="0" fontId="5" fillId="5" borderId="0" xfId="0" applyFont="1" applyFill="1"/>
    <xf numFmtId="0" fontId="5" fillId="0" borderId="0" xfId="0" applyFont="1"/>
    <xf numFmtId="164" fontId="4" fillId="5" borderId="0" xfId="1" applyFill="1">
      <alignment vertical="top"/>
    </xf>
    <xf numFmtId="164" fontId="4" fillId="0" borderId="0" xfId="1">
      <alignment vertical="top"/>
    </xf>
    <xf numFmtId="164" fontId="4" fillId="3" borderId="6" xfId="1" applyFill="1" applyBorder="1">
      <alignment vertical="top"/>
    </xf>
    <xf numFmtId="164" fontId="4" fillId="3" borderId="0" xfId="1" applyFill="1" applyBorder="1">
      <alignment vertical="top"/>
    </xf>
    <xf numFmtId="170" fontId="4" fillId="0" borderId="0" xfId="18">
      <alignment vertical="top"/>
    </xf>
    <xf numFmtId="170" fontId="4" fillId="5" borderId="0" xfId="18" applyFill="1">
      <alignment vertical="top"/>
    </xf>
    <xf numFmtId="164" fontId="4" fillId="0" borderId="0" xfId="1" applyBorder="1">
      <alignment vertical="top"/>
    </xf>
    <xf numFmtId="170" fontId="4" fillId="0" borderId="0" xfId="18" applyBorder="1">
      <alignment vertical="top"/>
    </xf>
    <xf numFmtId="164" fontId="4" fillId="4" borderId="0" xfId="1" applyFill="1" applyBorder="1" applyAlignment="1">
      <alignment horizontal="centerContinuous" vertical="top"/>
    </xf>
    <xf numFmtId="0" fontId="13" fillId="3" borderId="5" xfId="30" applyFont="1" applyFill="1" applyBorder="1">
      <alignment vertical="top"/>
    </xf>
    <xf numFmtId="0" fontId="8" fillId="3" borderId="3" xfId="31" applyFill="1" applyBorder="1">
      <alignment vertical="top"/>
    </xf>
    <xf numFmtId="0" fontId="12" fillId="3" borderId="8" xfId="90" applyFill="1" applyBorder="1" applyAlignment="1">
      <alignment horizontal="left" wrapText="1"/>
    </xf>
    <xf numFmtId="170" fontId="4" fillId="3" borderId="6" xfId="18" applyFill="1" applyBorder="1">
      <alignment vertical="top"/>
    </xf>
    <xf numFmtId="170" fontId="4" fillId="3" borderId="0" xfId="18" applyFill="1" applyBorder="1">
      <alignment vertical="top"/>
    </xf>
    <xf numFmtId="170" fontId="4" fillId="4" borderId="0" xfId="18" applyFill="1" applyBorder="1" applyAlignment="1">
      <alignment horizontal="centerContinuous" vertical="top"/>
    </xf>
    <xf numFmtId="0" fontId="12" fillId="3" borderId="4" xfId="90" applyFill="1" applyBorder="1" applyAlignment="1">
      <alignment horizontal="left" wrapText="1"/>
    </xf>
    <xf numFmtId="0" fontId="12" fillId="3" borderId="2" xfId="90" applyFill="1" applyBorder="1" applyAlignment="1">
      <alignment horizontal="left" wrapText="1"/>
    </xf>
    <xf numFmtId="0" fontId="0" fillId="6" borderId="0" xfId="0" applyFill="1" applyBorder="1"/>
    <xf numFmtId="0" fontId="0" fillId="7" borderId="0" xfId="0" applyFill="1" applyBorder="1"/>
    <xf numFmtId="0" fontId="0" fillId="8" borderId="0" xfId="0" applyFill="1" applyBorder="1"/>
  </cellXfs>
  <cellStyles count="91">
    <cellStyle name="cc0 -CalComma" xfId="1" xr:uid="{00000000-0005-0000-0000-000000000000}"/>
    <cellStyle name="cc0k -CalCommaThousand" xfId="2" xr:uid="{00000000-0005-0000-0000-000001000000}"/>
    <cellStyle name="cc0m -CalCommaMillion" xfId="3" xr:uid="{00000000-0005-0000-0000-000002000000}"/>
    <cellStyle name="cc1 -CalComma" xfId="4" xr:uid="{00000000-0005-0000-0000-000003000000}"/>
    <cellStyle name="cc2 -CalComma" xfId="5" xr:uid="{00000000-0005-0000-0000-000004000000}"/>
    <cellStyle name="cc3 -CalComma" xfId="6" xr:uid="{00000000-0005-0000-0000-000005000000}"/>
    <cellStyle name="cc4 -CalComma" xfId="7" xr:uid="{00000000-0005-0000-0000-000006000000}"/>
    <cellStyle name="cdDMM -CalDate" xfId="8" xr:uid="{00000000-0005-0000-0000-000007000000}"/>
    <cellStyle name="cdDMMY -CalDate" xfId="9" xr:uid="{00000000-0005-0000-0000-000008000000}"/>
    <cellStyle name="cdDMMYHM -CalDateTime" xfId="10" xr:uid="{00000000-0005-0000-0000-000009000000}"/>
    <cellStyle name="cdDMY -CalDate" xfId="11" xr:uid="{00000000-0005-0000-0000-00000A000000}"/>
    <cellStyle name="cdMDY -CalDate" xfId="12" xr:uid="{00000000-0005-0000-0000-00000B000000}"/>
    <cellStyle name="cdMMY -CalDate" xfId="13" xr:uid="{00000000-0005-0000-0000-00000C000000}"/>
    <cellStyle name="cdMMYc-CalDateC" xfId="14" xr:uid="{00000000-0005-0000-0000-00000D000000}"/>
    <cellStyle name="cf0 -CalFixed" xfId="15" xr:uid="{00000000-0005-0000-0000-00000E000000}"/>
    <cellStyle name="cmHM  -CalTime" xfId="16" xr:uid="{00000000-0005-0000-0000-00000F000000}"/>
    <cellStyle name="cmHM24+ -CalTime" xfId="17" xr:uid="{00000000-0005-0000-0000-000010000000}"/>
    <cellStyle name="cp0 -CalPercent" xfId="18" xr:uid="{00000000-0005-0000-0000-000011000000}"/>
    <cellStyle name="cp1 -CalPercent" xfId="19" xr:uid="{00000000-0005-0000-0000-000012000000}"/>
    <cellStyle name="cp2 -CalPercent" xfId="20" xr:uid="{00000000-0005-0000-0000-000013000000}"/>
    <cellStyle name="cp3 -CalPercent" xfId="21" xr:uid="{00000000-0005-0000-0000-000014000000}"/>
    <cellStyle name="cr0 -CalCurr" xfId="22" xr:uid="{00000000-0005-0000-0000-000015000000}"/>
    <cellStyle name="cr0k -CalCurrThousand" xfId="23" xr:uid="{00000000-0005-0000-0000-000016000000}"/>
    <cellStyle name="cr0m -CalCurrMillion" xfId="24" xr:uid="{00000000-0005-0000-0000-000017000000}"/>
    <cellStyle name="cr1 -CalCurr" xfId="25" xr:uid="{00000000-0005-0000-0000-000018000000}"/>
    <cellStyle name="cr2 -CalCurr" xfId="26" xr:uid="{00000000-0005-0000-0000-000019000000}"/>
    <cellStyle name="cr3 -CalCurr" xfId="27" xr:uid="{00000000-0005-0000-0000-00001A000000}"/>
    <cellStyle name="cr4 -CalCurr" xfId="28" xr:uid="{00000000-0005-0000-0000-00001B000000}"/>
    <cellStyle name="h0 -Heading" xfId="29" xr:uid="{00000000-0005-0000-0000-00001C000000}"/>
    <cellStyle name="h1 -Heading" xfId="30" xr:uid="{00000000-0005-0000-0000-00001D000000}"/>
    <cellStyle name="h2 -Heading" xfId="31" xr:uid="{00000000-0005-0000-0000-00001E000000}"/>
    <cellStyle name="h3 -Heading" xfId="32" xr:uid="{00000000-0005-0000-0000-00001F000000}"/>
    <cellStyle name="hp0 -Hyperlink" xfId="33" xr:uid="{00000000-0005-0000-0000-000020000000}"/>
    <cellStyle name="hp1 -Hyperlink" xfId="34" xr:uid="{00000000-0005-0000-0000-000021000000}"/>
    <cellStyle name="hp2 -Hyperlink" xfId="35" xr:uid="{00000000-0005-0000-0000-000022000000}"/>
    <cellStyle name="hp3 -Hyperlink" xfId="36" xr:uid="{00000000-0005-0000-0000-000023000000}"/>
    <cellStyle name="ic0 -InpComma" xfId="37" xr:uid="{00000000-0005-0000-0000-000024000000}"/>
    <cellStyle name="ic0k -InpCommaThousand" xfId="38" xr:uid="{00000000-0005-0000-0000-000025000000}"/>
    <cellStyle name="ic0m -InpCommaMillion" xfId="39" xr:uid="{00000000-0005-0000-0000-000026000000}"/>
    <cellStyle name="ic1 -InpComma" xfId="40" xr:uid="{00000000-0005-0000-0000-000027000000}"/>
    <cellStyle name="ic2 -InpComma" xfId="41" xr:uid="{00000000-0005-0000-0000-000028000000}"/>
    <cellStyle name="ic3 -InpComma" xfId="42" xr:uid="{00000000-0005-0000-0000-000029000000}"/>
    <cellStyle name="ic4 -InpComma" xfId="43" xr:uid="{00000000-0005-0000-0000-00002A000000}"/>
    <cellStyle name="idDMM -InpDate" xfId="44" xr:uid="{00000000-0005-0000-0000-00002B000000}"/>
    <cellStyle name="idDMMY -InpDate" xfId="45" xr:uid="{00000000-0005-0000-0000-00002C000000}"/>
    <cellStyle name="idDMMYHM -InpDateTime" xfId="46" xr:uid="{00000000-0005-0000-0000-00002D000000}"/>
    <cellStyle name="idDMY -InpDate" xfId="47" xr:uid="{00000000-0005-0000-0000-00002E000000}"/>
    <cellStyle name="idMDY -InpDate" xfId="48" xr:uid="{00000000-0005-0000-0000-00002F000000}"/>
    <cellStyle name="idMMY -InpDate" xfId="49" xr:uid="{00000000-0005-0000-0000-000030000000}"/>
    <cellStyle name="if0 -InpFixed" xfId="50" xr:uid="{00000000-0005-0000-0000-000031000000}"/>
    <cellStyle name="if0b-InpFixedB" xfId="51" xr:uid="{00000000-0005-0000-0000-000032000000}"/>
    <cellStyle name="if0-InpFixed" xfId="52" xr:uid="{00000000-0005-0000-0000-000033000000}"/>
    <cellStyle name="iln -InpTableTextNoWrap" xfId="53" xr:uid="{00000000-0005-0000-0000-000034000000}"/>
    <cellStyle name="ilnb-InpTableTextNoWrapB" xfId="54" xr:uid="{00000000-0005-0000-0000-000035000000}"/>
    <cellStyle name="ilw -InpTableTextWrap" xfId="55" xr:uid="{00000000-0005-0000-0000-000036000000}"/>
    <cellStyle name="imHM  -InpTime" xfId="56" xr:uid="{00000000-0005-0000-0000-000037000000}"/>
    <cellStyle name="imHM24+ -InpTime" xfId="57" xr:uid="{00000000-0005-0000-0000-000038000000}"/>
    <cellStyle name="ip0 -InpPercent" xfId="58" xr:uid="{00000000-0005-0000-0000-000039000000}"/>
    <cellStyle name="ip1 -InpPercent" xfId="59" xr:uid="{00000000-0005-0000-0000-00003A000000}"/>
    <cellStyle name="ip2 -InpPercent" xfId="60" xr:uid="{00000000-0005-0000-0000-00003B000000}"/>
    <cellStyle name="ip3 -InpPercent" xfId="61" xr:uid="{00000000-0005-0000-0000-00003C000000}"/>
    <cellStyle name="ir0 -InpCurr" xfId="62" xr:uid="{00000000-0005-0000-0000-00003D000000}"/>
    <cellStyle name="ir0k -InpCurrThousand" xfId="63" xr:uid="{00000000-0005-0000-0000-00003E000000}"/>
    <cellStyle name="ir0m -InpCurrMillion" xfId="64" xr:uid="{00000000-0005-0000-0000-00003F000000}"/>
    <cellStyle name="ir1 -InpCurr" xfId="65" xr:uid="{00000000-0005-0000-0000-000040000000}"/>
    <cellStyle name="ir2 -InpCurr" xfId="66" xr:uid="{00000000-0005-0000-0000-000041000000}"/>
    <cellStyle name="ir3 -InpCurr" xfId="67" xr:uid="{00000000-0005-0000-0000-000042000000}"/>
    <cellStyle name="ir4 -InpCurr" xfId="68" xr:uid="{00000000-0005-0000-0000-000043000000}"/>
    <cellStyle name="is0 -InpSideText" xfId="69" xr:uid="{00000000-0005-0000-0000-000044000000}"/>
    <cellStyle name="is1 -InpSideText" xfId="70" xr:uid="{00000000-0005-0000-0000-000045000000}"/>
    <cellStyle name="is2 -InpSideText" xfId="71" xr:uid="{00000000-0005-0000-0000-000046000000}"/>
    <cellStyle name="is3 -InpSideText" xfId="72" xr:uid="{00000000-0005-0000-0000-000047000000}"/>
    <cellStyle name="is4 -InpSideText" xfId="73" xr:uid="{00000000-0005-0000-0000-000048000000}"/>
    <cellStyle name="itn -InpTopTextNoWrap" xfId="74" xr:uid="{00000000-0005-0000-0000-000049000000}"/>
    <cellStyle name="itw -InpTopTextWrap" xfId="75" xr:uid="{00000000-0005-0000-0000-00004A000000}"/>
    <cellStyle name="ltn -TableTextNoWrap" xfId="76" xr:uid="{00000000-0005-0000-0000-00004B000000}"/>
    <cellStyle name="ltw -TableTextWrap" xfId="77" xr:uid="{00000000-0005-0000-0000-00004C000000}"/>
    <cellStyle name="Normal" xfId="0" builtinId="0" customBuiltin="1"/>
    <cellStyle name="sh0 -SideHeading" xfId="78" xr:uid="{00000000-0005-0000-0000-00004E000000}"/>
    <cellStyle name="sh1 -SideHeading" xfId="79" xr:uid="{00000000-0005-0000-0000-00004F000000}"/>
    <cellStyle name="sh2 -SideHeading" xfId="80" xr:uid="{00000000-0005-0000-0000-000050000000}"/>
    <cellStyle name="sh3 -SideHeading" xfId="81" xr:uid="{00000000-0005-0000-0000-000051000000}"/>
    <cellStyle name="st0 -SideText" xfId="82" xr:uid="{00000000-0005-0000-0000-000052000000}"/>
    <cellStyle name="st1 -SideText" xfId="83" xr:uid="{00000000-0005-0000-0000-000053000000}"/>
    <cellStyle name="st2 -SideText" xfId="84" xr:uid="{00000000-0005-0000-0000-000054000000}"/>
    <cellStyle name="st3 -SideText" xfId="85" xr:uid="{00000000-0005-0000-0000-000055000000}"/>
    <cellStyle name="st4 -SideText" xfId="86" xr:uid="{00000000-0005-0000-0000-000056000000}"/>
    <cellStyle name="tdMMYc-TopDateC" xfId="87" xr:uid="{00000000-0005-0000-0000-000057000000}"/>
    <cellStyle name="ttn -TopTextNoWrap" xfId="88" xr:uid="{00000000-0005-0000-0000-000058000000}"/>
    <cellStyle name="ttnl -TopTextNoWrapL" xfId="89" xr:uid="{00000000-0005-0000-0000-000059000000}"/>
    <cellStyle name="ttw -TopTextWrap" xfId="90" xr:uid="{00000000-0005-0000-0000-00005A000000}"/>
  </cellStyles>
  <dxfs count="20">
    <dxf>
      <fill>
        <patternFill patternType="none">
          <fgColor indexed="64"/>
          <bgColor indexed="65"/>
        </patternFill>
      </fill>
    </dxf>
    <dxf>
      <border outline="0">
        <left style="medium">
          <color rgb="FF000000"/>
        </left>
      </border>
    </dxf>
    <dxf>
      <border>
        <bottom style="medium">
          <color rgb="FF000000"/>
        </bottom>
      </border>
    </dxf>
    <dxf>
      <fill>
        <patternFill patternType="solid">
          <fgColor indexed="64"/>
          <bgColor indexed="23"/>
        </patternFill>
      </fill>
      <alignment horizontal="left" vertical="bottom" textRotation="0" wrapText="1" indent="0" justifyLastLine="0" shrinkToFit="0" readingOrder="0"/>
      <border diagonalUp="0" diagonalDown="0">
        <left/>
        <right/>
        <top/>
        <bottom/>
        <vertical/>
        <horizontal/>
      </border>
    </dxf>
    <dxf>
      <fill>
        <patternFill patternType="none">
          <fgColor indexed="64"/>
          <bgColor indexed="65"/>
        </patternFill>
      </fill>
    </dxf>
    <dxf>
      <border outline="0">
        <left style="medium">
          <color rgb="FF000000"/>
        </left>
      </border>
    </dxf>
    <dxf>
      <border>
        <bottom style="medium">
          <color rgb="FF000000"/>
        </bottom>
      </border>
    </dxf>
    <dxf>
      <fill>
        <patternFill patternType="solid">
          <fgColor indexed="64"/>
          <bgColor indexed="23"/>
        </patternFill>
      </fill>
      <alignment horizontal="left" vertical="bottom" textRotation="0" wrapText="1" indent="0" justifyLastLine="0" shrinkToFit="0" readingOrder="0"/>
      <border diagonalUp="0" diagonalDown="0">
        <left/>
        <right/>
        <top/>
        <bottom/>
        <vertical/>
        <horizontal/>
      </border>
    </dxf>
    <dxf>
      <fill>
        <patternFill patternType="none">
          <fgColor indexed="64"/>
          <bgColor indexed="65"/>
        </patternFill>
      </fill>
    </dxf>
    <dxf>
      <border outline="0">
        <left style="medium">
          <color rgb="FF000000"/>
        </left>
      </border>
    </dxf>
    <dxf>
      <border>
        <bottom style="medium">
          <color rgb="FF000000"/>
        </bottom>
      </border>
    </dxf>
    <dxf>
      <fill>
        <patternFill patternType="solid">
          <fgColor indexed="64"/>
          <bgColor indexed="23"/>
        </patternFill>
      </fill>
      <alignment horizontal="left" vertical="bottom" textRotation="0" wrapText="1" indent="0" justifyLastLine="0" shrinkToFit="0" readingOrder="0"/>
      <border diagonalUp="0" diagonalDown="0">
        <left/>
        <right/>
        <top/>
        <bottom/>
        <vertical/>
        <horizontal/>
      </border>
    </dxf>
    <dxf>
      <font>
        <b val="0"/>
        <i val="0"/>
        <strike val="0"/>
        <condense val="0"/>
        <extend val="0"/>
        <outline val="0"/>
        <shadow val="0"/>
        <u val="none"/>
        <vertAlign val="baseline"/>
        <sz val="8"/>
        <color auto="1"/>
        <name val="Arial"/>
        <scheme val="none"/>
      </font>
      <numFmt numFmtId="170" formatCode="0%;\-0%;0%;* @_%"/>
      <alignment horizontal="general" vertical="top"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general" vertical="top"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general" vertical="top" textRotation="0" wrapText="0" indent="0" justifyLastLine="0" shrinkToFit="0" readingOrder="0"/>
      <protection locked="1" hidden="0"/>
    </dxf>
    <dxf>
      <fill>
        <patternFill patternType="none">
          <fgColor indexed="64"/>
          <bgColor indexed="65"/>
        </patternFill>
      </fill>
    </dxf>
    <dxf>
      <fill>
        <patternFill patternType="none">
          <fgColor indexed="64"/>
          <bgColor indexed="65"/>
        </patternFill>
      </fill>
    </dxf>
    <dxf>
      <border outline="0">
        <left style="medium">
          <color indexed="64"/>
        </left>
      </border>
    </dxf>
    <dxf>
      <border>
        <bottom style="medium">
          <color indexed="64"/>
        </bottom>
      </border>
    </dxf>
    <dxf>
      <fill>
        <patternFill patternType="solid">
          <fgColor indexed="64"/>
          <bgColor indexed="23"/>
        </patternFill>
      </fill>
      <alignment horizontal="left" vertical="bottom" textRotation="0" wrapText="1" indent="0" justifyLastLine="0" shrinkToFit="0" readingOrder="0"/>
      <border diagonalUp="0" diagonalDown="0">
        <left/>
        <right/>
        <top/>
        <bottom/>
        <vertical/>
        <horizontal/>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B800"/>
      <rgbColor rgb="0066E2FF"/>
      <rgbColor rgb="00D5D000"/>
      <rgbColor rgb="00FFB9FF"/>
      <rgbColor rgb="00CDFFCD"/>
      <rgbColor rgb="00D8D8D8"/>
      <rgbColor rgb="00D7E4BC"/>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F2F2F2"/>
      <rgbColor rgb="00CCFFFF"/>
      <rgbColor rgb="00EBF1DE"/>
      <rgbColor rgb="00FFFF85"/>
      <rgbColor rgb="00BDDEFF"/>
      <rgbColor rgb="00FF99CC"/>
      <rgbColor rgb="00CC99FF"/>
      <rgbColor rgb="00FF8080"/>
      <rgbColor rgb="007596FF"/>
      <rgbColor rgb="0000FF99"/>
      <rgbColor rgb="00E7E200"/>
      <rgbColor rgb="00FFA080"/>
      <rgbColor rgb="00FFA143"/>
      <rgbColor rgb="00FF7E2F"/>
      <rgbColor rgb="00E6B9B8"/>
      <rgbColor rgb="00BFBFBF"/>
      <rgbColor rgb="009BBB59"/>
      <rgbColor rgb="0000DA00"/>
      <rgbColor rgb="00009A00"/>
      <rgbColor rgb="00B8B400"/>
      <rgbColor rgb="00FF4820"/>
      <rgbColor rgb="00CACADC"/>
      <rgbColor rgb="00C2D69A"/>
      <rgbColor rgb="00111111"/>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4.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s>
</file>

<file path=xl/drawings/drawing1.xml><?xml version="1.0" encoding="utf-8"?>
<xdr:wsDr xmlns:xdr="http://schemas.openxmlformats.org/drawingml/2006/spreadsheetDrawing" xmlns:a="http://schemas.openxmlformats.org/drawingml/2006/main">
  <xdr:twoCellAnchor editAs="absolute">
    <xdr:from>
      <xdr:col>16</xdr:col>
      <xdr:colOff>5440</xdr:colOff>
      <xdr:row>14</xdr:row>
      <xdr:rowOff>1361</xdr:rowOff>
    </xdr:from>
    <xdr:to>
      <xdr:col>18</xdr:col>
      <xdr:colOff>59870</xdr:colOff>
      <xdr:row>26</xdr:row>
      <xdr:rowOff>119742</xdr:rowOff>
    </xdr:to>
    <mc:AlternateContent xmlns:mc="http://schemas.openxmlformats.org/markup-compatibility/2006" xmlns:sle15="http://schemas.microsoft.com/office/drawing/2012/slicer">
      <mc:Choice Requires="sle15">
        <xdr:graphicFrame macro="">
          <xdr:nvGraphicFramePr>
            <xdr:cNvPr id="2" name="Team">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0972797" y="2129518"/>
              <a:ext cx="1099459" cy="1032781"/>
            </a:xfrm>
            <a:prstGeom prst="rect">
              <a:avLst/>
            </a:prstGeom>
            <a:solidFill>
              <a:prstClr val="white"/>
            </a:solidFill>
            <a:ln w="1">
              <a:solidFill>
                <a:prstClr val="green"/>
              </a:solidFill>
            </a:ln>
          </xdr:spPr>
          <xdr:txBody>
            <a:bodyPr vertOverflow="clip" horzOverflow="clip"/>
            <a:lstStyle/>
            <a:p>
              <a:r>
                <a:rPr lang="en-NZ"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16</xdr:col>
      <xdr:colOff>28576</xdr:colOff>
      <xdr:row>27</xdr:row>
      <xdr:rowOff>76200</xdr:rowOff>
    </xdr:from>
    <xdr:to>
      <xdr:col>18</xdr:col>
      <xdr:colOff>28575</xdr:colOff>
      <xdr:row>47</xdr:row>
      <xdr:rowOff>43543</xdr:rowOff>
    </xdr:to>
    <mc:AlternateContent xmlns:mc="http://schemas.openxmlformats.org/markup-compatibility/2006" xmlns:sle15="http://schemas.microsoft.com/office/drawing/2012/slicer">
      <mc:Choice Requires="sle15">
        <xdr:graphicFrame macro="">
          <xdr:nvGraphicFramePr>
            <xdr:cNvPr id="3" name="Offic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Office"/>
            </a:graphicData>
          </a:graphic>
        </xdr:graphicFrame>
      </mc:Choice>
      <mc:Fallback xmlns="">
        <xdr:sp macro="" textlink="">
          <xdr:nvSpPr>
            <xdr:cNvPr id="0" name=""/>
            <xdr:cNvSpPr>
              <a:spLocks noTextEdit="1"/>
            </xdr:cNvSpPr>
          </xdr:nvSpPr>
          <xdr:spPr>
            <a:xfrm>
              <a:off x="10715626" y="3800475"/>
              <a:ext cx="1066799" cy="1504950"/>
            </a:xfrm>
            <a:prstGeom prst="rect">
              <a:avLst/>
            </a:prstGeom>
            <a:solidFill>
              <a:prstClr val="white"/>
            </a:solidFill>
            <a:ln w="1">
              <a:solidFill>
                <a:prstClr val="green"/>
              </a:solidFill>
            </a:ln>
          </xdr:spPr>
          <xdr:txBody>
            <a:bodyPr vertOverflow="clip" horzOverflow="clip"/>
            <a:lstStyle/>
            <a:p>
              <a:r>
                <a:rPr lang="en-NZ"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16</xdr:col>
      <xdr:colOff>38099</xdr:colOff>
      <xdr:row>12</xdr:row>
      <xdr:rowOff>57151</xdr:rowOff>
    </xdr:from>
    <xdr:to>
      <xdr:col>21</xdr:col>
      <xdr:colOff>104775</xdr:colOff>
      <xdr:row>13</xdr:row>
      <xdr:rowOff>285750</xdr:rowOff>
    </xdr:to>
    <mc:AlternateContent xmlns:mc="http://schemas.openxmlformats.org/markup-compatibility/2006" xmlns:sle15="http://schemas.microsoft.com/office/drawing/2012/slicer">
      <mc:Choice Requires="sle15">
        <xdr:graphicFrame macro="">
          <xdr:nvGraphicFramePr>
            <xdr:cNvPr id="2" name="Team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Team 1"/>
            </a:graphicData>
          </a:graphic>
        </xdr:graphicFrame>
      </mc:Choice>
      <mc:Fallback xmlns="">
        <xdr:sp macro="" textlink="">
          <xdr:nvSpPr>
            <xdr:cNvPr id="0" name=""/>
            <xdr:cNvSpPr>
              <a:spLocks noTextEdit="1"/>
            </xdr:cNvSpPr>
          </xdr:nvSpPr>
          <xdr:spPr>
            <a:xfrm>
              <a:off x="10725149" y="1895476"/>
              <a:ext cx="2733676" cy="390524"/>
            </a:xfrm>
            <a:prstGeom prst="rect">
              <a:avLst/>
            </a:prstGeom>
            <a:solidFill>
              <a:prstClr val="white"/>
            </a:solidFill>
            <a:ln w="1">
              <a:solidFill>
                <a:prstClr val="green"/>
              </a:solidFill>
            </a:ln>
          </xdr:spPr>
          <xdr:txBody>
            <a:bodyPr vertOverflow="clip" horzOverflow="clip"/>
            <a:lstStyle/>
            <a:p>
              <a:r>
                <a:rPr lang="en-NZ"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twoCellAnchor editAs="absolute">
    <xdr:from>
      <xdr:col>16</xdr:col>
      <xdr:colOff>28575</xdr:colOff>
      <xdr:row>10</xdr:row>
      <xdr:rowOff>38100</xdr:rowOff>
    </xdr:from>
    <xdr:to>
      <xdr:col>23</xdr:col>
      <xdr:colOff>485775</xdr:colOff>
      <xdr:row>12</xdr:row>
      <xdr:rowOff>38100</xdr:rowOff>
    </xdr:to>
    <mc:AlternateContent xmlns:mc="http://schemas.openxmlformats.org/markup-compatibility/2006" xmlns:sle15="http://schemas.microsoft.com/office/drawing/2012/slicer">
      <mc:Choice Requires="sle15">
        <xdr:graphicFrame macro="">
          <xdr:nvGraphicFramePr>
            <xdr:cNvPr id="3" name="Office 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Office 1"/>
            </a:graphicData>
          </a:graphic>
        </xdr:graphicFrame>
      </mc:Choice>
      <mc:Fallback xmlns="">
        <xdr:sp macro="" textlink="">
          <xdr:nvSpPr>
            <xdr:cNvPr id="0" name=""/>
            <xdr:cNvSpPr>
              <a:spLocks noTextEdit="1"/>
            </xdr:cNvSpPr>
          </xdr:nvSpPr>
          <xdr:spPr>
            <a:xfrm>
              <a:off x="10715625" y="1476375"/>
              <a:ext cx="4191000" cy="400050"/>
            </a:xfrm>
            <a:prstGeom prst="rect">
              <a:avLst/>
            </a:prstGeom>
            <a:solidFill>
              <a:prstClr val="white"/>
            </a:solidFill>
            <a:ln w="1">
              <a:solidFill>
                <a:prstClr val="green"/>
              </a:solidFill>
            </a:ln>
          </xdr:spPr>
          <xdr:txBody>
            <a:bodyPr vertOverflow="clip" horzOverflow="clip"/>
            <a:lstStyle/>
            <a:p>
              <a:r>
                <a:rPr lang="en-NZ"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16</xdr:col>
      <xdr:colOff>38099</xdr:colOff>
      <xdr:row>12</xdr:row>
      <xdr:rowOff>57151</xdr:rowOff>
    </xdr:from>
    <xdr:to>
      <xdr:col>21</xdr:col>
      <xdr:colOff>104775</xdr:colOff>
      <xdr:row>13</xdr:row>
      <xdr:rowOff>285750</xdr:rowOff>
    </xdr:to>
    <mc:AlternateContent xmlns:mc="http://schemas.openxmlformats.org/markup-compatibility/2006" xmlns:sle15="http://schemas.microsoft.com/office/drawing/2012/slicer">
      <mc:Choice Requires="sle15">
        <xdr:graphicFrame macro="">
          <xdr:nvGraphicFramePr>
            <xdr:cNvPr id="2" name="Team 2">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Team 2"/>
            </a:graphicData>
          </a:graphic>
        </xdr:graphicFrame>
      </mc:Choice>
      <mc:Fallback xmlns="">
        <xdr:sp macro="" textlink="">
          <xdr:nvSpPr>
            <xdr:cNvPr id="0" name=""/>
            <xdr:cNvSpPr>
              <a:spLocks noTextEdit="1"/>
            </xdr:cNvSpPr>
          </xdr:nvSpPr>
          <xdr:spPr>
            <a:xfrm>
              <a:off x="10725149" y="1895476"/>
              <a:ext cx="2733676" cy="390524"/>
            </a:xfrm>
            <a:prstGeom prst="rect">
              <a:avLst/>
            </a:prstGeom>
            <a:solidFill>
              <a:prstClr val="white"/>
            </a:solidFill>
            <a:ln w="1">
              <a:solidFill>
                <a:prstClr val="green"/>
              </a:solidFill>
            </a:ln>
          </xdr:spPr>
          <xdr:txBody>
            <a:bodyPr vertOverflow="clip" horzOverflow="clip"/>
            <a:lstStyle/>
            <a:p>
              <a:r>
                <a:rPr lang="en-NZ"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twoCellAnchor editAs="absolute">
    <xdr:from>
      <xdr:col>16</xdr:col>
      <xdr:colOff>28575</xdr:colOff>
      <xdr:row>10</xdr:row>
      <xdr:rowOff>38100</xdr:rowOff>
    </xdr:from>
    <xdr:to>
      <xdr:col>23</xdr:col>
      <xdr:colOff>485775</xdr:colOff>
      <xdr:row>12</xdr:row>
      <xdr:rowOff>38100</xdr:rowOff>
    </xdr:to>
    <mc:AlternateContent xmlns:mc="http://schemas.openxmlformats.org/markup-compatibility/2006" xmlns:sle15="http://schemas.microsoft.com/office/drawing/2012/slicer">
      <mc:Choice Requires="sle15">
        <xdr:graphicFrame macro="">
          <xdr:nvGraphicFramePr>
            <xdr:cNvPr id="3" name="Office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Office 2"/>
            </a:graphicData>
          </a:graphic>
        </xdr:graphicFrame>
      </mc:Choice>
      <mc:Fallback xmlns="">
        <xdr:sp macro="" textlink="">
          <xdr:nvSpPr>
            <xdr:cNvPr id="0" name=""/>
            <xdr:cNvSpPr>
              <a:spLocks noTextEdit="1"/>
            </xdr:cNvSpPr>
          </xdr:nvSpPr>
          <xdr:spPr>
            <a:xfrm>
              <a:off x="10715625" y="1476375"/>
              <a:ext cx="4191000" cy="400050"/>
            </a:xfrm>
            <a:prstGeom prst="rect">
              <a:avLst/>
            </a:prstGeom>
            <a:solidFill>
              <a:prstClr val="white"/>
            </a:solidFill>
            <a:ln w="1">
              <a:solidFill>
                <a:prstClr val="green"/>
              </a:solidFill>
            </a:ln>
          </xdr:spPr>
          <xdr:txBody>
            <a:bodyPr vertOverflow="clip" horzOverflow="clip"/>
            <a:lstStyle/>
            <a:p>
              <a:r>
                <a:rPr lang="en-NZ"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16</xdr:col>
      <xdr:colOff>28574</xdr:colOff>
      <xdr:row>12</xdr:row>
      <xdr:rowOff>47626</xdr:rowOff>
    </xdr:from>
    <xdr:to>
      <xdr:col>21</xdr:col>
      <xdr:colOff>95250</xdr:colOff>
      <xdr:row>13</xdr:row>
      <xdr:rowOff>276225</xdr:rowOff>
    </xdr:to>
    <mc:AlternateContent xmlns:mc="http://schemas.openxmlformats.org/markup-compatibility/2006" xmlns:sle15="http://schemas.microsoft.com/office/drawing/2012/slicer">
      <mc:Choice Requires="sle15">
        <xdr:graphicFrame macro="">
          <xdr:nvGraphicFramePr>
            <xdr:cNvPr id="2" name="Team 3">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Team 3"/>
            </a:graphicData>
          </a:graphic>
        </xdr:graphicFrame>
      </mc:Choice>
      <mc:Fallback xmlns="">
        <xdr:sp macro="" textlink="">
          <xdr:nvSpPr>
            <xdr:cNvPr id="0" name=""/>
            <xdr:cNvSpPr>
              <a:spLocks noTextEdit="1"/>
            </xdr:cNvSpPr>
          </xdr:nvSpPr>
          <xdr:spPr>
            <a:xfrm>
              <a:off x="10791824" y="1885951"/>
              <a:ext cx="2733676" cy="390524"/>
            </a:xfrm>
            <a:prstGeom prst="rect">
              <a:avLst/>
            </a:prstGeom>
            <a:solidFill>
              <a:prstClr val="white"/>
            </a:solidFill>
            <a:ln w="1">
              <a:solidFill>
                <a:prstClr val="green"/>
              </a:solidFill>
            </a:ln>
          </xdr:spPr>
          <xdr:txBody>
            <a:bodyPr vertOverflow="clip" horzOverflow="clip"/>
            <a:lstStyle/>
            <a:p>
              <a:r>
                <a:rPr lang="en-NZ"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twoCellAnchor editAs="absolute">
    <xdr:from>
      <xdr:col>16</xdr:col>
      <xdr:colOff>19050</xdr:colOff>
      <xdr:row>10</xdr:row>
      <xdr:rowOff>9525</xdr:rowOff>
    </xdr:from>
    <xdr:to>
      <xdr:col>23</xdr:col>
      <xdr:colOff>476250</xdr:colOff>
      <xdr:row>12</xdr:row>
      <xdr:rowOff>9525</xdr:rowOff>
    </xdr:to>
    <mc:AlternateContent xmlns:mc="http://schemas.openxmlformats.org/markup-compatibility/2006" xmlns:sle15="http://schemas.microsoft.com/office/drawing/2012/slicer">
      <mc:Choice Requires="sle15">
        <xdr:graphicFrame macro="">
          <xdr:nvGraphicFramePr>
            <xdr:cNvPr id="3" name="Office 3">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Office 3"/>
            </a:graphicData>
          </a:graphic>
        </xdr:graphicFrame>
      </mc:Choice>
      <mc:Fallback xmlns="">
        <xdr:sp macro="" textlink="">
          <xdr:nvSpPr>
            <xdr:cNvPr id="0" name=""/>
            <xdr:cNvSpPr>
              <a:spLocks noTextEdit="1"/>
            </xdr:cNvSpPr>
          </xdr:nvSpPr>
          <xdr:spPr>
            <a:xfrm>
              <a:off x="10782300" y="1447800"/>
              <a:ext cx="4191000" cy="400050"/>
            </a:xfrm>
            <a:prstGeom prst="rect">
              <a:avLst/>
            </a:prstGeom>
            <a:solidFill>
              <a:prstClr val="white"/>
            </a:solidFill>
            <a:ln w="1">
              <a:solidFill>
                <a:prstClr val="green"/>
              </a:solidFill>
            </a:ln>
          </xdr:spPr>
          <xdr:txBody>
            <a:bodyPr vertOverflow="clip" horzOverflow="clip"/>
            <a:lstStyle/>
            <a:p>
              <a:r>
                <a:rPr lang="en-NZ"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00000000-0013-0000-FFFF-FFFF01000000}" sourceName="Team">
  <extLst>
    <x:ext xmlns:x15="http://schemas.microsoft.com/office/spreadsheetml/2010/11/main" uri="{2F2917AC-EB37-4324-AD4E-5DD8C200BD13}">
      <x15:tableSlicerCache tableId="34"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ffice" xr10:uid="{00000000-0013-0000-FFFF-FFFF02000000}" sourceName="Office">
  <extLst>
    <x:ext xmlns:x15="http://schemas.microsoft.com/office/spreadsheetml/2010/11/main" uri="{2F2917AC-EB37-4324-AD4E-5DD8C200BD13}">
      <x15:tableSlicerCache tableId="34"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1" xr10:uid="{00000000-0013-0000-FFFF-FFFF03000000}" sourceName="Team">
  <extLst>
    <x:ext xmlns:x15="http://schemas.microsoft.com/office/spreadsheetml/2010/11/main" uri="{2F2917AC-EB37-4324-AD4E-5DD8C200BD13}">
      <x15:tableSlicerCache tableId="1"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ffice1" xr10:uid="{00000000-0013-0000-FFFF-FFFF04000000}" sourceName="Office">
  <extLst>
    <x:ext xmlns:x15="http://schemas.microsoft.com/office/spreadsheetml/2010/11/main" uri="{2F2917AC-EB37-4324-AD4E-5DD8C200BD13}">
      <x15:tableSlicerCache tableId="1"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11" xr10:uid="{00000000-0013-0000-FFFF-FFFF05000000}" sourceName="Team">
  <extLst>
    <x:ext xmlns:x15="http://schemas.microsoft.com/office/spreadsheetml/2010/11/main" uri="{2F2917AC-EB37-4324-AD4E-5DD8C200BD13}">
      <x15:tableSlicerCache tableId="2"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ffice11" xr10:uid="{00000000-0013-0000-FFFF-FFFF06000000}" sourceName="Office">
  <extLst>
    <x:ext xmlns:x15="http://schemas.microsoft.com/office/spreadsheetml/2010/11/main" uri="{2F2917AC-EB37-4324-AD4E-5DD8C200BD13}">
      <x15:tableSlicerCache tableId="2"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111" xr10:uid="{00000000-0013-0000-FFFF-FFFF07000000}" sourceName="Team">
  <extLst>
    <x:ext xmlns:x15="http://schemas.microsoft.com/office/spreadsheetml/2010/11/main" uri="{2F2917AC-EB37-4324-AD4E-5DD8C200BD13}">
      <x15:tableSlicerCache tableId="3"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ffice111" xr10:uid="{00000000-0013-0000-FFFF-FFFF08000000}" sourceName="Office">
  <extLst>
    <x:ext xmlns:x15="http://schemas.microsoft.com/office/spreadsheetml/2010/11/main" uri="{2F2917AC-EB37-4324-AD4E-5DD8C200BD13}">
      <x15:tableSlicerCache tableId="3"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xr10:uid="{00000000-0014-0000-FFFF-FFFF01000000}" cache="Slicer_Team" caption="Team" rowHeight="193675"/>
  <slicer name="Office" xr10:uid="{00000000-0014-0000-FFFF-FFFF02000000}" cache="Slicer_Office" caption="Office" rowHeight="1936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1" xr10:uid="{00000000-0014-0000-FFFF-FFFF03000000}" cache="Slicer_Team1" caption="Team" columnCount="3" showCaption="0" rowHeight="193675"/>
  <slicer name="Office 1" xr10:uid="{00000000-0014-0000-FFFF-FFFF04000000}" cache="Slicer_Office1" caption="Office" columnCount="5" showCaption="0" rowHeight="1936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2" xr10:uid="{00000000-0014-0000-FFFF-FFFF05000000}" cache="Slicer_Team11" caption="Team" columnCount="3" showCaption="0" rowHeight="193675"/>
  <slicer name="Office 2" xr10:uid="{00000000-0014-0000-FFFF-FFFF06000000}" cache="Slicer_Office11" caption="Office" columnCount="5" showCaption="0" rowHeight="1936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3" xr10:uid="{00000000-0014-0000-FFFF-FFFF07000000}" cache="Slicer_Team111" caption="Team" columnCount="3" showCaption="0" rowHeight="193675"/>
  <slicer name="Office 3" xr10:uid="{00000000-0014-0000-FFFF-FFFF08000000}" cache="Slicer_Office111" caption="Office" columnCount="5" showCaption="0" rowHeight="1936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0000000}" name="Table34" displayName="Table34" ref="K14:P50" headerRowDxfId="19" headerRowBorderDxfId="18" tableBorderDxfId="17" headerRowCellStyle="ttw -TopTextWrap" dataCellStyle="cc0 -CalComma">
  <autoFilter ref="K14:P50" xr:uid="{00000000-0009-0000-0100-000022000000}">
    <filterColumn colId="1">
      <filters>
        <filter val="SMO"/>
        <filter val="Telesales"/>
      </filters>
    </filterColumn>
    <filterColumn colId="2">
      <filters>
        <filter val="Auckland"/>
        <filter val="Hamilton"/>
        <filter val="Wellington"/>
      </filters>
    </filterColumn>
  </autoFilter>
  <tableColumns count="6">
    <tableColumn id="1" xr3:uid="{00000000-0010-0000-0000-000001000000}" name="Rep" totalsRowLabel="Total" dataDxfId="16" totalsRowDxfId="15"/>
    <tableColumn id="2" xr3:uid="{00000000-0010-0000-0000-000002000000}" name="Team"/>
    <tableColumn id="3" xr3:uid="{00000000-0010-0000-0000-000003000000}" name="Office"/>
    <tableColumn id="4" xr3:uid="{00000000-0010-0000-0000-000004000000}" name="Sales target" totalsRowDxfId="14" dataCellStyle="cc0 -CalComma"/>
    <tableColumn id="5" xr3:uid="{00000000-0010-0000-0000-000005000000}" name="Sales" totalsRowDxfId="13" dataCellStyle="cc0 -CalComma"/>
    <tableColumn id="6" xr3:uid="{00000000-0010-0000-0000-000006000000}" name="% of target" totalsRowFunction="sum" totalsRowDxfId="12" dataCellStyle="cp0 -CalPercent">
      <calculatedColumnFormula>O15/N15</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342" displayName="Table342" ref="K14:P50" totalsRowShown="0" headerRowDxfId="11" headerRowBorderDxfId="10" tableBorderDxfId="9" headerRowCellStyle="ttw -TopTextWrap" dataCellStyle="cc0 -CalComma">
  <autoFilter ref="K14:P50" xr:uid="{00000000-0009-0000-0100-000001000000}">
    <filterColumn colId="1">
      <filters>
        <filter val="SMO"/>
        <filter val="Telesales"/>
      </filters>
    </filterColumn>
    <filterColumn colId="2">
      <filters>
        <filter val="Auckland"/>
        <filter val="Hamilton"/>
        <filter val="Wellington"/>
      </filters>
    </filterColumn>
  </autoFilter>
  <tableColumns count="6">
    <tableColumn id="1" xr3:uid="{00000000-0010-0000-0100-000001000000}" name="Rep" dataDxfId="8"/>
    <tableColumn id="2" xr3:uid="{00000000-0010-0000-0100-000002000000}" name="Team"/>
    <tableColumn id="3" xr3:uid="{00000000-0010-0000-0100-000003000000}" name="Office"/>
    <tableColumn id="4" xr3:uid="{00000000-0010-0000-0100-000004000000}" name="Sales target" dataCellStyle="cc0 -CalComma"/>
    <tableColumn id="5" xr3:uid="{00000000-0010-0000-0100-000005000000}" name="Sales" dataCellStyle="cc0 -CalComma"/>
    <tableColumn id="6" xr3:uid="{00000000-0010-0000-0100-000006000000}" name="% of target" dataCellStyle="cp0 -CalPercent">
      <calculatedColumnFormula>O15/N15</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3423" displayName="Table3423" ref="K14:P50" totalsRowShown="0" headerRowDxfId="7" headerRowBorderDxfId="6" tableBorderDxfId="5" headerRowCellStyle="ttw -TopTextWrap" dataCellStyle="cc0 -CalComma">
  <autoFilter ref="K14:P50" xr:uid="{00000000-0009-0000-0100-000002000000}"/>
  <tableColumns count="6">
    <tableColumn id="1" xr3:uid="{00000000-0010-0000-0200-000001000000}" name="Rep" dataDxfId="4"/>
    <tableColumn id="2" xr3:uid="{00000000-0010-0000-0200-000002000000}" name="Team"/>
    <tableColumn id="3" xr3:uid="{00000000-0010-0000-0200-000003000000}" name="Office"/>
    <tableColumn id="4" xr3:uid="{00000000-0010-0000-0200-000004000000}" name="Sales target" dataCellStyle="cc0 -CalComma"/>
    <tableColumn id="5" xr3:uid="{00000000-0010-0000-0200-000005000000}" name="Sales" dataCellStyle="cc0 -CalComma"/>
    <tableColumn id="6" xr3:uid="{00000000-0010-0000-0200-000006000000}" name="% of target" dataCellStyle="cp0 -CalPercent">
      <calculatedColumnFormula>O15/N15</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4234" displayName="Table34234" ref="K14:P50" totalsRowShown="0" headerRowDxfId="3" headerRowBorderDxfId="2" tableBorderDxfId="1" headerRowCellStyle="ttw -TopTextWrap" dataCellStyle="cc0 -CalComma">
  <autoFilter ref="K14:P50" xr:uid="{00000000-0009-0000-0100-000003000000}"/>
  <tableColumns count="6">
    <tableColumn id="1" xr3:uid="{00000000-0010-0000-0300-000001000000}" name="Rep" dataDxfId="0"/>
    <tableColumn id="2" xr3:uid="{00000000-0010-0000-0300-000002000000}" name="Team"/>
    <tableColumn id="3" xr3:uid="{00000000-0010-0000-0300-000003000000}" name="Office"/>
    <tableColumn id="4" xr3:uid="{00000000-0010-0000-0300-000004000000}" name="Sales target" dataCellStyle="cc0 -CalComma"/>
    <tableColumn id="5" xr3:uid="{00000000-0010-0000-0300-000005000000}" name="Sales" dataCellStyle="cc0 -CalComma"/>
    <tableColumn id="6" xr3:uid="{00000000-0010-0000-0300-000006000000}" name="% of target" dataCellStyle="cp0 -CalPercent">
      <calculatedColumnFormula>O15/N15</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microsoft.com/office/2007/relationships/slicer" Target="../slicers/slicer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indexed="12"/>
  </sheetPr>
  <dimension ref="A1:D31"/>
  <sheetViews>
    <sheetView workbookViewId="0">
      <pane xSplit="2" ySplit="4" topLeftCell="C5" activePane="bottomRight" state="frozen"/>
      <selection pane="topRight" activeCell="C1" sqref="C1"/>
      <selection pane="bottomLeft" activeCell="A5" sqref="A5"/>
      <selection pane="bottomRight" activeCell="C9" sqref="C9"/>
    </sheetView>
  </sheetViews>
  <sheetFormatPr defaultRowHeight="10.3" x14ac:dyDescent="0.25"/>
  <cols>
    <col min="1" max="1" width="7" customWidth="1"/>
    <col min="2" max="2" width="15.81640625" customWidth="1"/>
    <col min="3" max="3" width="96.453125" customWidth="1"/>
    <col min="4" max="4" width="2.36328125" customWidth="1"/>
  </cols>
  <sheetData>
    <row r="1" spans="1:4" ht="15.45" x14ac:dyDescent="0.25">
      <c r="A1" s="19" t="s">
        <v>14</v>
      </c>
      <c r="B1" s="20"/>
      <c r="C1" s="20"/>
      <c r="D1" s="21"/>
    </row>
    <row r="2" spans="1:4" ht="15.45" x14ac:dyDescent="0.25">
      <c r="A2" s="22" t="str">
        <f>kAppName</f>
        <v>Sales performance</v>
      </c>
      <c r="B2" s="23"/>
      <c r="C2" s="23"/>
      <c r="D2" s="24"/>
    </row>
    <row r="3" spans="1:4" x14ac:dyDescent="0.25">
      <c r="A3" s="28" t="str">
        <f>"Version " &amp; kVersion</f>
        <v>Version 09-May-2014A</v>
      </c>
      <c r="B3" s="23"/>
      <c r="C3" s="23"/>
      <c r="D3" s="24"/>
    </row>
    <row r="4" spans="1:4" ht="10.75" thickBot="1" x14ac:dyDescent="0.3">
      <c r="A4" s="29"/>
      <c r="B4" s="30"/>
      <c r="C4" s="30"/>
      <c r="D4" s="27"/>
    </row>
    <row r="5" spans="1:4" x14ac:dyDescent="0.25">
      <c r="A5" s="8" t="s">
        <v>23</v>
      </c>
    </row>
    <row r="6" spans="1:4" x14ac:dyDescent="0.25">
      <c r="A6" s="9" t="s">
        <v>24</v>
      </c>
      <c r="C6" s="10" t="s">
        <v>97</v>
      </c>
    </row>
    <row r="7" spans="1:4" x14ac:dyDescent="0.25">
      <c r="A7" s="9" t="s">
        <v>12</v>
      </c>
      <c r="C7" s="10" t="s">
        <v>31</v>
      </c>
    </row>
    <row r="8" spans="1:4" x14ac:dyDescent="0.25">
      <c r="A8" s="9" t="s">
        <v>5</v>
      </c>
      <c r="C8" s="4" t="str">
        <f ca="1">SUBSTITUTE(LEFT(CELL("filename",C8),FIND("]",CELL("filename",C8))-1),"[","")</f>
        <v>C:\d\Sem\custom\Clients\OCS\Coursefiles\3 Tables\SlicersToTable.xlsm</v>
      </c>
    </row>
    <row r="9" spans="1:4" x14ac:dyDescent="0.25">
      <c r="A9" s="9" t="s">
        <v>6</v>
      </c>
      <c r="C9" t="str">
        <f>kVersion</f>
        <v>09-May-2014A</v>
      </c>
    </row>
    <row r="10" spans="1:4" x14ac:dyDescent="0.25">
      <c r="A10" s="9" t="s">
        <v>13</v>
      </c>
      <c r="C10" t="s">
        <v>34</v>
      </c>
    </row>
    <row r="11" spans="1:4" x14ac:dyDescent="0.25">
      <c r="A11" s="9" t="s">
        <v>15</v>
      </c>
      <c r="C11" s="10"/>
    </row>
    <row r="12" spans="1:4" x14ac:dyDescent="0.25">
      <c r="A12" s="9" t="s">
        <v>7</v>
      </c>
      <c r="C12" s="10"/>
    </row>
    <row r="13" spans="1:4" x14ac:dyDescent="0.25">
      <c r="A13" s="9" t="s">
        <v>21</v>
      </c>
    </row>
    <row r="14" spans="1:4" x14ac:dyDescent="0.25">
      <c r="A14" s="11" t="s">
        <v>17</v>
      </c>
      <c r="C14" s="10"/>
    </row>
    <row r="15" spans="1:4" x14ac:dyDescent="0.25">
      <c r="A15" s="11" t="s">
        <v>18</v>
      </c>
      <c r="C15" s="10"/>
    </row>
    <row r="16" spans="1:4" x14ac:dyDescent="0.25">
      <c r="A16" s="11" t="s">
        <v>22</v>
      </c>
      <c r="C16" s="10"/>
    </row>
    <row r="17" spans="1:3" x14ac:dyDescent="0.25">
      <c r="A17" s="11" t="s">
        <v>19</v>
      </c>
      <c r="C17" s="10"/>
    </row>
    <row r="18" spans="1:3" x14ac:dyDescent="0.25">
      <c r="A18" s="11" t="s">
        <v>20</v>
      </c>
      <c r="C18" s="10"/>
    </row>
    <row r="19" spans="1:3" x14ac:dyDescent="0.25">
      <c r="A19" s="12" t="s">
        <v>8</v>
      </c>
    </row>
    <row r="20" spans="1:3" x14ac:dyDescent="0.25">
      <c r="A20" s="13" t="s">
        <v>26</v>
      </c>
      <c r="C20" s="10"/>
    </row>
    <row r="21" spans="1:3" x14ac:dyDescent="0.25">
      <c r="A21" s="13" t="s">
        <v>27</v>
      </c>
      <c r="C21" s="10"/>
    </row>
    <row r="22" spans="1:3" x14ac:dyDescent="0.25">
      <c r="A22" s="13" t="s">
        <v>25</v>
      </c>
      <c r="C22" s="10"/>
    </row>
    <row r="23" spans="1:3" x14ac:dyDescent="0.25">
      <c r="A23" s="13" t="s">
        <v>28</v>
      </c>
      <c r="C23" s="10"/>
    </row>
    <row r="24" spans="1:3" x14ac:dyDescent="0.25">
      <c r="A24" s="13" t="s">
        <v>16</v>
      </c>
      <c r="C24" s="10"/>
    </row>
    <row r="25" spans="1:3" x14ac:dyDescent="0.25">
      <c r="A25" s="13" t="s">
        <v>29</v>
      </c>
      <c r="C25" s="10"/>
    </row>
    <row r="26" spans="1:3" x14ac:dyDescent="0.25">
      <c r="A26" s="12"/>
      <c r="C26" s="14"/>
    </row>
    <row r="27" spans="1:3" x14ac:dyDescent="0.25">
      <c r="C27" s="14"/>
    </row>
    <row r="28" spans="1:3" x14ac:dyDescent="0.25">
      <c r="A28" s="15" t="s">
        <v>3</v>
      </c>
      <c r="B28" s="4"/>
    </row>
    <row r="29" spans="1:3" x14ac:dyDescent="0.25">
      <c r="A29" s="16" t="s">
        <v>32</v>
      </c>
      <c r="B29" s="4"/>
    </row>
    <row r="30" spans="1:3" x14ac:dyDescent="0.25">
      <c r="A30" s="13"/>
      <c r="B30" s="7"/>
      <c r="C30" s="4"/>
    </row>
    <row r="31" spans="1:3" x14ac:dyDescent="0.25">
      <c r="A31" s="18" t="s">
        <v>33</v>
      </c>
      <c r="B31" s="4"/>
      <c r="C31" s="4"/>
    </row>
  </sheetData>
  <sheetProtection autoFilter="0"/>
  <phoneticPr fontId="0" type="noConversion"/>
  <pageMargins left="0.23622047244094491" right="0.23622047244094491" top="0.43307086614173229" bottom="0.43307086614173229" header="0.23622047244094491" footer="0.23622047244094491"/>
  <pageSetup paperSize="9" scale="80" orientation="landscape" r:id="rId1"/>
  <headerFooter alignWithMargins="0">
    <oddFooter>&amp;L&amp;8&amp;D &amp;T&amp;C&amp;8&amp;Z&amp;F</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indexed="22"/>
  </sheetPr>
  <dimension ref="A1:B14"/>
  <sheetViews>
    <sheetView workbookViewId="0">
      <selection activeCell="B7" sqref="B7"/>
    </sheetView>
  </sheetViews>
  <sheetFormatPr defaultColWidth="9.81640625" defaultRowHeight="10.3" x14ac:dyDescent="0.25"/>
  <cols>
    <col min="1" max="1" width="22" customWidth="1"/>
    <col min="2" max="2" width="19.81640625" customWidth="1"/>
  </cols>
  <sheetData>
    <row r="1" spans="1:2" ht="15.45" x14ac:dyDescent="0.25">
      <c r="A1" s="19" t="s">
        <v>0</v>
      </c>
      <c r="B1" s="21"/>
    </row>
    <row r="2" spans="1:2" ht="15.45" x14ac:dyDescent="0.25">
      <c r="A2" s="22" t="str">
        <f>kAppName</f>
        <v>Sales performance</v>
      </c>
      <c r="B2" s="24"/>
    </row>
    <row r="3" spans="1:2" x14ac:dyDescent="0.25">
      <c r="A3" s="25"/>
      <c r="B3" s="24"/>
    </row>
    <row r="4" spans="1:2" ht="10.75" thickBot="1" x14ac:dyDescent="0.3">
      <c r="A4" s="26"/>
      <c r="B4" s="27"/>
    </row>
    <row r="5" spans="1:2" x14ac:dyDescent="0.25">
      <c r="A5" s="3"/>
      <c r="B5" s="1"/>
    </row>
    <row r="6" spans="1:2" x14ac:dyDescent="0.25">
      <c r="A6" s="3" t="s">
        <v>4</v>
      </c>
      <c r="B6" s="1" t="s">
        <v>93</v>
      </c>
    </row>
    <row r="7" spans="1:2" x14ac:dyDescent="0.25">
      <c r="A7" s="3" t="s">
        <v>96</v>
      </c>
      <c r="B7" s="1" t="s">
        <v>99</v>
      </c>
    </row>
    <row r="8" spans="1:2" x14ac:dyDescent="0.25">
      <c r="A8" s="6" t="s">
        <v>6</v>
      </c>
      <c r="B8" s="1" t="s">
        <v>98</v>
      </c>
    </row>
    <row r="9" spans="1:2" x14ac:dyDescent="0.25">
      <c r="A9" s="3" t="s">
        <v>2</v>
      </c>
      <c r="B9" s="1" t="s">
        <v>92</v>
      </c>
    </row>
    <row r="10" spans="1:2" x14ac:dyDescent="0.25">
      <c r="A10" s="3" t="s">
        <v>9</v>
      </c>
      <c r="B10" s="17">
        <v>1E-3</v>
      </c>
    </row>
    <row r="11" spans="1:2" x14ac:dyDescent="0.25">
      <c r="A11" s="3" t="s">
        <v>10</v>
      </c>
      <c r="B11" s="1" t="s">
        <v>11</v>
      </c>
    </row>
    <row r="12" spans="1:2" x14ac:dyDescent="0.25">
      <c r="A12" s="3" t="s">
        <v>1</v>
      </c>
      <c r="B12" s="1" t="str">
        <f ca="1">TEXT(NOW(),"d-mmm-yyyy h:mm AM/PM ")</f>
        <v xml:space="preserve">25-Mar-2024 4:59 pm </v>
      </c>
    </row>
    <row r="13" spans="1:2" x14ac:dyDescent="0.25">
      <c r="A13" s="3" t="s">
        <v>30</v>
      </c>
      <c r="B13" s="1" t="b">
        <v>1</v>
      </c>
    </row>
    <row r="14" spans="1:2" ht="6" customHeight="1" thickBot="1" x14ac:dyDescent="0.3">
      <c r="A14" s="5"/>
      <c r="B14" s="2"/>
    </row>
  </sheetData>
  <sheetProtection autoFilter="0"/>
  <phoneticPr fontId="0" type="noConversion"/>
  <pageMargins left="0.23622047244094491" right="0.23622047244094491" top="0.43307086614173229" bottom="0.43307086614173229" header="0.23622047244094491" footer="0.23622047244094491"/>
  <pageSetup paperSize="9" scale="80" orientation="landscape" r:id="rId1"/>
  <headerFooter alignWithMargins="0">
    <oddFooter>&amp;L&amp;8&amp;D &amp;T&amp;C&amp;8&amp;Z&amp;F</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9A00"/>
  </sheetPr>
  <dimension ref="I7:P50"/>
  <sheetViews>
    <sheetView tabSelected="1" topLeftCell="K11" zoomScaleNormal="100" workbookViewId="0">
      <pane xSplit="3" ySplit="4" topLeftCell="N15" activePane="bottomRight" state="frozen"/>
      <selection activeCell="K11" sqref="K11"/>
      <selection pane="topRight" activeCell="N11" sqref="N11"/>
      <selection pane="bottomLeft" activeCell="K15" sqref="K15"/>
      <selection pane="bottomRight" activeCell="T68" sqref="T68"/>
    </sheetView>
  </sheetViews>
  <sheetFormatPr defaultRowHeight="10.3" x14ac:dyDescent="0.25"/>
  <cols>
    <col min="1" max="1" width="50.81640625" customWidth="1"/>
    <col min="8" max="8" width="7.6328125" customWidth="1"/>
    <col min="9" max="9" width="9.6328125" style="40" customWidth="1"/>
    <col min="10" max="10" width="7.81640625" style="43" customWidth="1"/>
    <col min="11" max="11" width="8.6328125" customWidth="1"/>
    <col min="12" max="12" width="12.36328125" bestFit="1" customWidth="1"/>
    <col min="13" max="13" width="11.453125" bestFit="1" customWidth="1"/>
    <col min="14" max="15" width="8" customWidth="1"/>
    <col min="16" max="16" width="6.453125" customWidth="1"/>
  </cols>
  <sheetData>
    <row r="7" spans="9:16" x14ac:dyDescent="0.25">
      <c r="I7"/>
      <c r="J7"/>
      <c r="K7" s="38"/>
      <c r="L7" s="38"/>
      <c r="M7" s="38"/>
      <c r="N7" s="38"/>
      <c r="O7" s="38"/>
      <c r="P7" s="37" t="s">
        <v>46</v>
      </c>
    </row>
    <row r="8" spans="9:16" x14ac:dyDescent="0.25">
      <c r="I8"/>
      <c r="J8"/>
      <c r="K8" s="38"/>
      <c r="L8" s="38"/>
      <c r="M8" s="38"/>
      <c r="N8" s="38"/>
      <c r="O8" s="38"/>
      <c r="P8" s="43" t="e">
        <f>O8/N8</f>
        <v>#DIV/0!</v>
      </c>
    </row>
    <row r="10" spans="9:16" ht="10.75" thickBot="1" x14ac:dyDescent="0.3">
      <c r="K10" t="s">
        <v>41</v>
      </c>
      <c r="L10" t="s">
        <v>42</v>
      </c>
      <c r="M10" t="s">
        <v>43</v>
      </c>
      <c r="N10" t="s">
        <v>44</v>
      </c>
      <c r="O10" t="s">
        <v>39</v>
      </c>
      <c r="P10" t="s">
        <v>94</v>
      </c>
    </row>
    <row r="11" spans="9:16" ht="15.45" x14ac:dyDescent="0.25">
      <c r="I11"/>
      <c r="J11"/>
      <c r="K11" s="48" t="s">
        <v>35</v>
      </c>
      <c r="L11" s="20"/>
      <c r="M11" s="20"/>
      <c r="N11" s="20"/>
      <c r="O11" s="20"/>
      <c r="P11" s="21"/>
    </row>
    <row r="12" spans="9:16" ht="15.45" x14ac:dyDescent="0.25">
      <c r="I12"/>
      <c r="J12"/>
      <c r="K12" s="22"/>
      <c r="L12" s="23"/>
      <c r="M12" s="23"/>
      <c r="N12" s="23"/>
      <c r="O12" s="23"/>
      <c r="P12" s="24"/>
    </row>
    <row r="13" spans="9:16" ht="12.45" x14ac:dyDescent="0.25">
      <c r="I13"/>
      <c r="J13"/>
      <c r="K13" s="49" t="str">
        <f>kPeriod</f>
        <v>2024 Q4</v>
      </c>
      <c r="L13" s="23"/>
      <c r="M13" s="23"/>
      <c r="N13" s="23"/>
      <c r="O13" s="23"/>
      <c r="P13" s="24"/>
    </row>
    <row r="14" spans="9:16" ht="21" thickBot="1" x14ac:dyDescent="0.3">
      <c r="I14"/>
      <c r="J14"/>
      <c r="K14" s="54" t="s">
        <v>41</v>
      </c>
      <c r="L14" s="50" t="s">
        <v>42</v>
      </c>
      <c r="M14" s="50" t="s">
        <v>43</v>
      </c>
      <c r="N14" s="50" t="s">
        <v>95</v>
      </c>
      <c r="O14" s="50" t="s">
        <v>39</v>
      </c>
      <c r="P14" s="55" t="s">
        <v>45</v>
      </c>
    </row>
    <row r="15" spans="9:16" x14ac:dyDescent="0.25">
      <c r="I15"/>
      <c r="J15"/>
      <c r="K15" s="7" t="s">
        <v>69</v>
      </c>
      <c r="L15" s="4" t="s">
        <v>53</v>
      </c>
      <c r="M15" s="4" t="s">
        <v>51</v>
      </c>
      <c r="N15" s="45">
        <v>150000</v>
      </c>
      <c r="O15" s="45">
        <v>177000</v>
      </c>
      <c r="P15" s="46">
        <f t="shared" ref="P15:P50" si="0">O15/N15</f>
        <v>1.18</v>
      </c>
    </row>
    <row r="16" spans="9:16" hidden="1" x14ac:dyDescent="0.25">
      <c r="I16"/>
      <c r="J16"/>
      <c r="K16" s="7" t="s">
        <v>75</v>
      </c>
      <c r="L16" s="4" t="s">
        <v>58</v>
      </c>
      <c r="M16" s="4" t="s">
        <v>59</v>
      </c>
      <c r="N16" s="45">
        <v>250000</v>
      </c>
      <c r="O16" s="45">
        <v>291000</v>
      </c>
      <c r="P16" s="46">
        <f t="shared" si="0"/>
        <v>1.1639999999999999</v>
      </c>
    </row>
    <row r="17" spans="9:16" hidden="1" x14ac:dyDescent="0.25">
      <c r="I17"/>
      <c r="J17"/>
      <c r="K17" s="7" t="s">
        <v>68</v>
      </c>
      <c r="L17" s="4" t="s">
        <v>58</v>
      </c>
      <c r="M17" s="4" t="s">
        <v>51</v>
      </c>
      <c r="N17" s="45">
        <v>160000</v>
      </c>
      <c r="O17" s="45">
        <v>177000</v>
      </c>
      <c r="P17" s="46">
        <f t="shared" si="0"/>
        <v>1.10625</v>
      </c>
    </row>
    <row r="18" spans="9:16" hidden="1" x14ac:dyDescent="0.25">
      <c r="I18"/>
      <c r="J18"/>
      <c r="K18" s="7" t="s">
        <v>80</v>
      </c>
      <c r="L18" s="4" t="s">
        <v>58</v>
      </c>
      <c r="M18" s="4" t="s">
        <v>81</v>
      </c>
      <c r="N18" s="45">
        <v>200000</v>
      </c>
      <c r="O18" s="45">
        <v>215000</v>
      </c>
      <c r="P18" s="46">
        <f t="shared" si="0"/>
        <v>1.075</v>
      </c>
    </row>
    <row r="19" spans="9:16" hidden="1" x14ac:dyDescent="0.25">
      <c r="I19"/>
      <c r="J19"/>
      <c r="K19" s="7" t="s">
        <v>63</v>
      </c>
      <c r="L19" s="4" t="s">
        <v>58</v>
      </c>
      <c r="M19" s="4" t="s">
        <v>49</v>
      </c>
      <c r="N19" s="45">
        <v>150000</v>
      </c>
      <c r="O19" s="45">
        <v>100000</v>
      </c>
      <c r="P19" s="46">
        <f t="shared" si="0"/>
        <v>0.66666666666666663</v>
      </c>
    </row>
    <row r="20" spans="9:16" x14ac:dyDescent="0.25">
      <c r="I20"/>
      <c r="J20"/>
      <c r="K20" s="7" t="s">
        <v>66</v>
      </c>
      <c r="L20" s="4" t="s">
        <v>48</v>
      </c>
      <c r="M20" s="4" t="s">
        <v>49</v>
      </c>
      <c r="N20" s="45">
        <v>100000</v>
      </c>
      <c r="O20" s="45">
        <v>201000</v>
      </c>
      <c r="P20" s="46">
        <f t="shared" si="0"/>
        <v>2.0099999999999998</v>
      </c>
    </row>
    <row r="21" spans="9:16" x14ac:dyDescent="0.25">
      <c r="I21"/>
      <c r="J21"/>
      <c r="K21" s="7" t="s">
        <v>78</v>
      </c>
      <c r="L21" s="4" t="s">
        <v>48</v>
      </c>
      <c r="M21" s="4" t="s">
        <v>59</v>
      </c>
      <c r="N21" s="45">
        <v>100000</v>
      </c>
      <c r="O21" s="45">
        <v>134000</v>
      </c>
      <c r="P21" s="46">
        <f t="shared" si="0"/>
        <v>1.34</v>
      </c>
    </row>
    <row r="22" spans="9:16" x14ac:dyDescent="0.25">
      <c r="I22"/>
      <c r="J22"/>
      <c r="K22" s="7" t="s">
        <v>64</v>
      </c>
      <c r="L22" s="4" t="s">
        <v>53</v>
      </c>
      <c r="M22" s="4" t="s">
        <v>49</v>
      </c>
      <c r="N22" s="45">
        <v>120000</v>
      </c>
      <c r="O22" s="45">
        <v>159600</v>
      </c>
      <c r="P22" s="46">
        <f t="shared" si="0"/>
        <v>1.33</v>
      </c>
    </row>
    <row r="23" spans="9:16" x14ac:dyDescent="0.25">
      <c r="I23"/>
      <c r="J23"/>
      <c r="K23" s="7" t="s">
        <v>77</v>
      </c>
      <c r="L23" s="4" t="s">
        <v>53</v>
      </c>
      <c r="M23" s="4" t="s">
        <v>59</v>
      </c>
      <c r="N23" s="45">
        <v>120000</v>
      </c>
      <c r="O23" s="45">
        <v>150000</v>
      </c>
      <c r="P23" s="46">
        <f t="shared" si="0"/>
        <v>1.25</v>
      </c>
    </row>
    <row r="24" spans="9:16" hidden="1" x14ac:dyDescent="0.25">
      <c r="I24"/>
      <c r="J24"/>
      <c r="K24" s="7" t="s">
        <v>83</v>
      </c>
      <c r="L24" s="4" t="s">
        <v>48</v>
      </c>
      <c r="M24" s="4" t="s">
        <v>81</v>
      </c>
      <c r="N24" s="45">
        <v>120000</v>
      </c>
      <c r="O24" s="45">
        <v>150000</v>
      </c>
      <c r="P24" s="46">
        <f t="shared" si="0"/>
        <v>1.25</v>
      </c>
    </row>
    <row r="25" spans="9:16" x14ac:dyDescent="0.25">
      <c r="I25"/>
      <c r="J25"/>
      <c r="K25" s="7" t="s">
        <v>60</v>
      </c>
      <c r="L25" s="4" t="s">
        <v>53</v>
      </c>
      <c r="M25" s="4" t="s">
        <v>49</v>
      </c>
      <c r="N25" s="45">
        <v>100000</v>
      </c>
      <c r="O25" s="45">
        <v>122000</v>
      </c>
      <c r="P25" s="46">
        <f t="shared" si="0"/>
        <v>1.22</v>
      </c>
    </row>
    <row r="26" spans="9:16" x14ac:dyDescent="0.25">
      <c r="I26"/>
      <c r="J26"/>
      <c r="K26" s="7" t="s">
        <v>55</v>
      </c>
      <c r="L26" s="4" t="s">
        <v>53</v>
      </c>
      <c r="M26" s="4" t="s">
        <v>49</v>
      </c>
      <c r="N26" s="45">
        <v>120000</v>
      </c>
      <c r="O26" s="45">
        <v>139000</v>
      </c>
      <c r="P26" s="46">
        <f t="shared" si="0"/>
        <v>1.1583333333333334</v>
      </c>
    </row>
    <row r="27" spans="9:16" x14ac:dyDescent="0.25">
      <c r="I27"/>
      <c r="J27"/>
      <c r="K27" s="7" t="s">
        <v>47</v>
      </c>
      <c r="L27" s="4" t="s">
        <v>48</v>
      </c>
      <c r="M27" s="4" t="s">
        <v>49</v>
      </c>
      <c r="N27" s="45">
        <v>120000</v>
      </c>
      <c r="O27" s="45">
        <v>138000</v>
      </c>
      <c r="P27" s="46">
        <f t="shared" si="0"/>
        <v>1.1499999999999999</v>
      </c>
    </row>
    <row r="28" spans="9:16" x14ac:dyDescent="0.25">
      <c r="I28"/>
      <c r="J28"/>
      <c r="K28" s="7" t="s">
        <v>67</v>
      </c>
      <c r="L28" s="4" t="s">
        <v>48</v>
      </c>
      <c r="M28" s="4" t="s">
        <v>49</v>
      </c>
      <c r="N28" s="45">
        <v>100000</v>
      </c>
      <c r="O28" s="45">
        <v>114000</v>
      </c>
      <c r="P28" s="46">
        <f t="shared" si="0"/>
        <v>1.1399999999999999</v>
      </c>
    </row>
    <row r="29" spans="9:16" x14ac:dyDescent="0.25">
      <c r="I29"/>
      <c r="J29"/>
      <c r="K29" s="7" t="s">
        <v>76</v>
      </c>
      <c r="L29" s="4" t="s">
        <v>53</v>
      </c>
      <c r="M29" s="4" t="s">
        <v>59</v>
      </c>
      <c r="N29" s="45">
        <v>110000</v>
      </c>
      <c r="O29" s="45">
        <v>124000</v>
      </c>
      <c r="P29" s="46">
        <f t="shared" si="0"/>
        <v>1.1272727272727272</v>
      </c>
    </row>
    <row r="30" spans="9:16" x14ac:dyDescent="0.25">
      <c r="I30"/>
      <c r="J30"/>
      <c r="K30" s="7" t="s">
        <v>72</v>
      </c>
      <c r="L30" s="4" t="s">
        <v>48</v>
      </c>
      <c r="M30" s="4" t="s">
        <v>51</v>
      </c>
      <c r="N30" s="45">
        <v>100000</v>
      </c>
      <c r="O30" s="45">
        <v>110000</v>
      </c>
      <c r="P30" s="46">
        <f t="shared" si="0"/>
        <v>1.1000000000000001</v>
      </c>
    </row>
    <row r="31" spans="9:16" hidden="1" x14ac:dyDescent="0.25">
      <c r="I31"/>
      <c r="J31"/>
      <c r="K31" s="7" t="s">
        <v>57</v>
      </c>
      <c r="L31" s="4" t="s">
        <v>58</v>
      </c>
      <c r="M31" s="4" t="s">
        <v>59</v>
      </c>
      <c r="N31" s="45">
        <v>125000</v>
      </c>
      <c r="O31" s="45">
        <v>137000</v>
      </c>
      <c r="P31" s="46">
        <f t="shared" si="0"/>
        <v>1.0960000000000001</v>
      </c>
    </row>
    <row r="32" spans="9:16" x14ac:dyDescent="0.25">
      <c r="I32"/>
      <c r="J32"/>
      <c r="K32" s="7" t="s">
        <v>89</v>
      </c>
      <c r="L32" s="4" t="s">
        <v>48</v>
      </c>
      <c r="M32" s="4" t="s">
        <v>49</v>
      </c>
      <c r="N32" s="45">
        <v>140000</v>
      </c>
      <c r="O32" s="45">
        <v>142000</v>
      </c>
      <c r="P32" s="46">
        <f t="shared" si="0"/>
        <v>1.0142857142857142</v>
      </c>
    </row>
    <row r="33" spans="9:16" x14ac:dyDescent="0.25">
      <c r="I33"/>
      <c r="J33"/>
      <c r="K33" s="7" t="s">
        <v>50</v>
      </c>
      <c r="L33" s="4" t="s">
        <v>48</v>
      </c>
      <c r="M33" s="4" t="s">
        <v>51</v>
      </c>
      <c r="N33" s="45">
        <v>100000</v>
      </c>
      <c r="O33" s="45">
        <v>101000</v>
      </c>
      <c r="P33" s="46">
        <f t="shared" si="0"/>
        <v>1.01</v>
      </c>
    </row>
    <row r="34" spans="9:16" x14ac:dyDescent="0.25">
      <c r="I34"/>
      <c r="J34"/>
      <c r="K34" s="7" t="s">
        <v>65</v>
      </c>
      <c r="L34" s="4" t="s">
        <v>48</v>
      </c>
      <c r="M34" s="4" t="s">
        <v>49</v>
      </c>
      <c r="N34" s="45">
        <v>100000</v>
      </c>
      <c r="O34" s="45">
        <v>98000</v>
      </c>
      <c r="P34" s="46">
        <f t="shared" si="0"/>
        <v>0.98</v>
      </c>
    </row>
    <row r="35" spans="9:16" x14ac:dyDescent="0.25">
      <c r="I35"/>
      <c r="J35"/>
      <c r="K35" s="7" t="s">
        <v>79</v>
      </c>
      <c r="L35" s="4" t="s">
        <v>48</v>
      </c>
      <c r="M35" s="4" t="s">
        <v>59</v>
      </c>
      <c r="N35" s="45">
        <v>100000</v>
      </c>
      <c r="O35" s="45">
        <v>85000</v>
      </c>
      <c r="P35" s="46">
        <f t="shared" si="0"/>
        <v>0.85</v>
      </c>
    </row>
    <row r="36" spans="9:16" hidden="1" x14ac:dyDescent="0.25">
      <c r="I36"/>
      <c r="J36"/>
      <c r="K36" s="7" t="s">
        <v>86</v>
      </c>
      <c r="L36" s="4" t="s">
        <v>48</v>
      </c>
      <c r="M36" s="4" t="s">
        <v>54</v>
      </c>
      <c r="N36" s="45">
        <v>120000</v>
      </c>
      <c r="O36" s="45">
        <v>95000</v>
      </c>
      <c r="P36" s="46">
        <f t="shared" si="0"/>
        <v>0.79166666666666663</v>
      </c>
    </row>
    <row r="37" spans="9:16" hidden="1" x14ac:dyDescent="0.25">
      <c r="I37"/>
      <c r="J37"/>
      <c r="K37" s="7" t="s">
        <v>62</v>
      </c>
      <c r="L37" s="4" t="s">
        <v>58</v>
      </c>
      <c r="M37" s="4" t="s">
        <v>49</v>
      </c>
      <c r="N37" s="45">
        <v>140000</v>
      </c>
      <c r="O37" s="45">
        <v>109000</v>
      </c>
      <c r="P37" s="46">
        <f t="shared" si="0"/>
        <v>0.77857142857142858</v>
      </c>
    </row>
    <row r="38" spans="9:16" hidden="1" x14ac:dyDescent="0.25">
      <c r="I38"/>
      <c r="J38"/>
      <c r="K38" s="7" t="s">
        <v>82</v>
      </c>
      <c r="L38" s="4" t="s">
        <v>53</v>
      </c>
      <c r="M38" s="4" t="s">
        <v>81</v>
      </c>
      <c r="N38" s="45">
        <v>160000</v>
      </c>
      <c r="O38" s="45">
        <v>121000</v>
      </c>
      <c r="P38" s="46">
        <f t="shared" si="0"/>
        <v>0.75624999999999998</v>
      </c>
    </row>
    <row r="39" spans="9:16" hidden="1" x14ac:dyDescent="0.25">
      <c r="I39"/>
      <c r="J39"/>
      <c r="K39" s="7" t="s">
        <v>52</v>
      </c>
      <c r="L39" s="4" t="s">
        <v>53</v>
      </c>
      <c r="M39" s="4" t="s">
        <v>54</v>
      </c>
      <c r="N39" s="45">
        <v>125000</v>
      </c>
      <c r="O39" s="45">
        <v>89000</v>
      </c>
      <c r="P39" s="46">
        <f t="shared" si="0"/>
        <v>0.71199999999999997</v>
      </c>
    </row>
    <row r="40" spans="9:16" x14ac:dyDescent="0.25">
      <c r="I40"/>
      <c r="J40"/>
      <c r="K40" s="7" t="s">
        <v>74</v>
      </c>
      <c r="L40" s="4" t="s">
        <v>48</v>
      </c>
      <c r="M40" s="4" t="s">
        <v>51</v>
      </c>
      <c r="N40" s="45">
        <v>110000</v>
      </c>
      <c r="O40" s="45">
        <v>36000</v>
      </c>
      <c r="P40" s="46">
        <f t="shared" si="0"/>
        <v>0.32727272727272727</v>
      </c>
    </row>
    <row r="41" spans="9:16" x14ac:dyDescent="0.25">
      <c r="I41"/>
      <c r="J41"/>
      <c r="K41" s="7" t="s">
        <v>56</v>
      </c>
      <c r="L41" s="4" t="s">
        <v>48</v>
      </c>
      <c r="M41" s="4" t="s">
        <v>49</v>
      </c>
      <c r="N41" s="45">
        <v>80000</v>
      </c>
      <c r="O41" s="45">
        <v>92000</v>
      </c>
      <c r="P41" s="46">
        <f t="shared" si="0"/>
        <v>1.1499999999999999</v>
      </c>
    </row>
    <row r="42" spans="9:16" x14ac:dyDescent="0.25">
      <c r="I42"/>
      <c r="J42"/>
      <c r="K42" s="7" t="s">
        <v>71</v>
      </c>
      <c r="L42" s="4" t="s">
        <v>48</v>
      </c>
      <c r="M42" s="4" t="s">
        <v>51</v>
      </c>
      <c r="N42" s="45">
        <v>80000</v>
      </c>
      <c r="O42" s="45">
        <v>92000</v>
      </c>
      <c r="P42" s="46">
        <f t="shared" si="0"/>
        <v>1.1499999999999999</v>
      </c>
    </row>
    <row r="43" spans="9:16" x14ac:dyDescent="0.25">
      <c r="I43"/>
      <c r="J43"/>
      <c r="K43" s="7" t="s">
        <v>70</v>
      </c>
      <c r="L43" s="4" t="s">
        <v>48</v>
      </c>
      <c r="M43" s="4" t="s">
        <v>51</v>
      </c>
      <c r="N43" s="45">
        <v>80000</v>
      </c>
      <c r="O43" s="45">
        <v>76000</v>
      </c>
      <c r="P43" s="46">
        <f t="shared" si="0"/>
        <v>0.95</v>
      </c>
    </row>
    <row r="44" spans="9:16" hidden="1" x14ac:dyDescent="0.25">
      <c r="I44"/>
      <c r="J44"/>
      <c r="K44" s="7" t="s">
        <v>61</v>
      </c>
      <c r="L44" s="4" t="s">
        <v>58</v>
      </c>
      <c r="M44" s="4" t="s">
        <v>49</v>
      </c>
      <c r="N44" s="45">
        <v>120000</v>
      </c>
      <c r="O44" s="45">
        <v>130000</v>
      </c>
      <c r="P44" s="46">
        <f t="shared" si="0"/>
        <v>1.0833333333333333</v>
      </c>
    </row>
    <row r="45" spans="9:16" hidden="1" x14ac:dyDescent="0.25">
      <c r="I45"/>
      <c r="J45"/>
      <c r="K45" s="7" t="s">
        <v>84</v>
      </c>
      <c r="L45" s="4" t="s">
        <v>48</v>
      </c>
      <c r="M45" s="4" t="s">
        <v>81</v>
      </c>
      <c r="N45" s="45">
        <v>80000</v>
      </c>
      <c r="O45" s="45">
        <v>47000</v>
      </c>
      <c r="P45" s="46">
        <f t="shared" si="0"/>
        <v>0.58750000000000002</v>
      </c>
    </row>
    <row r="46" spans="9:16" hidden="1" x14ac:dyDescent="0.25">
      <c r="I46"/>
      <c r="J46"/>
      <c r="K46" s="7" t="s">
        <v>87</v>
      </c>
      <c r="L46" s="4" t="s">
        <v>48</v>
      </c>
      <c r="M46" s="4" t="s">
        <v>54</v>
      </c>
      <c r="N46" s="45">
        <v>80000</v>
      </c>
      <c r="O46" s="45">
        <v>50000</v>
      </c>
      <c r="P46" s="46">
        <f t="shared" si="0"/>
        <v>0.625</v>
      </c>
    </row>
    <row r="47" spans="9:16" hidden="1" x14ac:dyDescent="0.25">
      <c r="I47"/>
      <c r="J47"/>
      <c r="K47" s="7" t="s">
        <v>85</v>
      </c>
      <c r="L47" s="4" t="s">
        <v>48</v>
      </c>
      <c r="M47" s="4" t="s">
        <v>81</v>
      </c>
      <c r="N47" s="45">
        <v>75000</v>
      </c>
      <c r="O47" s="45">
        <v>100500</v>
      </c>
      <c r="P47" s="46">
        <f t="shared" si="0"/>
        <v>1.34</v>
      </c>
    </row>
    <row r="48" spans="9:16" x14ac:dyDescent="0.25">
      <c r="I48"/>
      <c r="J48"/>
      <c r="K48" s="7" t="s">
        <v>73</v>
      </c>
      <c r="L48" s="4" t="s">
        <v>53</v>
      </c>
      <c r="M48" s="4" t="s">
        <v>51</v>
      </c>
      <c r="N48" s="45">
        <v>80000</v>
      </c>
      <c r="O48" s="45">
        <v>100000</v>
      </c>
      <c r="P48" s="46">
        <f t="shared" si="0"/>
        <v>1.25</v>
      </c>
    </row>
    <row r="49" spans="9:16" hidden="1" x14ac:dyDescent="0.25">
      <c r="I49"/>
      <c r="J49"/>
      <c r="K49" s="7" t="s">
        <v>88</v>
      </c>
      <c r="L49" s="4" t="s">
        <v>48</v>
      </c>
      <c r="M49" s="4" t="s">
        <v>54</v>
      </c>
      <c r="N49" s="45">
        <v>60000</v>
      </c>
      <c r="O49" s="45">
        <v>42000</v>
      </c>
      <c r="P49" s="46">
        <f t="shared" si="0"/>
        <v>0.7</v>
      </c>
    </row>
    <row r="50" spans="9:16" x14ac:dyDescent="0.25">
      <c r="I50"/>
      <c r="J50"/>
      <c r="K50" s="7" t="s">
        <v>90</v>
      </c>
      <c r="L50" s="4" t="s">
        <v>48</v>
      </c>
      <c r="M50" s="4" t="s">
        <v>49</v>
      </c>
      <c r="N50" s="45">
        <v>80000</v>
      </c>
      <c r="O50" s="45">
        <v>40000</v>
      </c>
      <c r="P50" s="46">
        <f t="shared" si="0"/>
        <v>0.5</v>
      </c>
    </row>
  </sheetData>
  <sheetProtection autoFilter="0"/>
  <phoneticPr fontId="0" type="noConversion"/>
  <pageMargins left="0.23622047244094491" right="0.23622047244094491" top="0.43307086614173229" bottom="0.43307086614173229" header="0.23622047244094491" footer="0.23622047244094491"/>
  <pageSetup paperSize="9" scale="80" orientation="landscape" r:id="rId1"/>
  <headerFooter alignWithMargins="0">
    <oddFooter>&amp;L&amp;8&amp;D &amp;T&amp;C&amp;8&amp;Z&amp;F&amp;R&amp;8&amp;P of &amp;N</oddFooter>
  </headerFooter>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9A00"/>
  </sheetPr>
  <dimension ref="G7:P50"/>
  <sheetViews>
    <sheetView topLeftCell="K11" zoomScaleNormal="100" workbookViewId="0">
      <pane xSplit="3" ySplit="4" topLeftCell="N15" activePane="bottomRight" state="frozen"/>
      <selection activeCell="K11" sqref="K11"/>
      <selection pane="topRight" activeCell="N11" sqref="N11"/>
      <selection pane="bottomLeft" activeCell="K15" sqref="K15"/>
      <selection pane="bottomRight" activeCell="R34" sqref="R34"/>
    </sheetView>
  </sheetViews>
  <sheetFormatPr defaultRowHeight="10.3" x14ac:dyDescent="0.25"/>
  <cols>
    <col min="1" max="1" width="50.81640625" customWidth="1"/>
    <col min="8" max="8" width="7.6328125" customWidth="1"/>
    <col min="9" max="9" width="9.6328125" style="40" customWidth="1"/>
    <col min="10" max="10" width="7.81640625" style="43" customWidth="1"/>
    <col min="11" max="11" width="8.6328125" customWidth="1"/>
    <col min="12" max="12" width="12.36328125" bestFit="1" customWidth="1"/>
    <col min="13" max="13" width="11.453125" bestFit="1" customWidth="1"/>
    <col min="14" max="15" width="8" customWidth="1"/>
    <col min="16" max="16" width="6.453125" customWidth="1"/>
  </cols>
  <sheetData>
    <row r="7" spans="7:16" x14ac:dyDescent="0.25">
      <c r="G7" s="37" t="s">
        <v>46</v>
      </c>
      <c r="H7" s="37"/>
      <c r="I7" s="39"/>
      <c r="J7" s="44"/>
      <c r="K7" s="38"/>
      <c r="L7" s="38"/>
      <c r="M7" s="38"/>
      <c r="N7" s="38"/>
      <c r="O7" s="38"/>
      <c r="P7" s="37" t="s">
        <v>46</v>
      </c>
    </row>
    <row r="8" spans="7:16" x14ac:dyDescent="0.25">
      <c r="G8" t="str">
        <f>COUNTIF($O8:$O$14,O8)&amp;O8</f>
        <v>0</v>
      </c>
      <c r="H8" t="e">
        <f>COUNTIF($P8:$P$14,P8)&amp;P8</f>
        <v>#DIV/0!</v>
      </c>
      <c r="I8" s="40">
        <f>0+SUBTOTAL(9,O8)</f>
        <v>0</v>
      </c>
      <c r="J8" s="43" t="e">
        <f>0+SUBTOTAL(9,P8)</f>
        <v>#DIV/0!</v>
      </c>
      <c r="K8" s="38"/>
      <c r="L8" s="38"/>
      <c r="M8" s="38"/>
      <c r="N8" s="38"/>
      <c r="O8" s="38"/>
      <c r="P8" s="43" t="e">
        <f>O8/N8</f>
        <v>#DIV/0!</v>
      </c>
    </row>
    <row r="10" spans="7:16" ht="10.75" thickBot="1" x14ac:dyDescent="0.3">
      <c r="K10" t="s">
        <v>41</v>
      </c>
      <c r="L10" t="s">
        <v>42</v>
      </c>
      <c r="M10" t="s">
        <v>43</v>
      </c>
      <c r="N10" t="s">
        <v>44</v>
      </c>
      <c r="O10" t="s">
        <v>39</v>
      </c>
      <c r="P10" t="s">
        <v>94</v>
      </c>
    </row>
    <row r="11" spans="7:16" ht="15.45" x14ac:dyDescent="0.25">
      <c r="G11" s="31"/>
      <c r="H11" s="20"/>
      <c r="I11" s="41"/>
      <c r="J11" s="51"/>
      <c r="K11" s="48" t="s">
        <v>35</v>
      </c>
      <c r="L11" s="20"/>
      <c r="M11" s="20"/>
      <c r="N11" s="20"/>
      <c r="O11" s="20"/>
      <c r="P11" s="21"/>
    </row>
    <row r="12" spans="7:16" ht="15.45" x14ac:dyDescent="0.25">
      <c r="G12" s="32"/>
      <c r="H12" s="23"/>
      <c r="I12" s="42"/>
      <c r="J12" s="52"/>
      <c r="K12" s="22"/>
      <c r="L12" s="23"/>
      <c r="M12" s="23"/>
      <c r="N12" s="23"/>
      <c r="O12" s="23"/>
      <c r="P12" s="24"/>
    </row>
    <row r="13" spans="7:16" ht="12.45" x14ac:dyDescent="0.25">
      <c r="G13" s="33" t="s">
        <v>36</v>
      </c>
      <c r="H13" s="34"/>
      <c r="I13" s="47"/>
      <c r="J13" s="53"/>
      <c r="K13" s="49" t="str">
        <f>kPeriod</f>
        <v>2024 Q4</v>
      </c>
      <c r="L13" s="23"/>
      <c r="M13" s="23"/>
      <c r="N13" s="23"/>
      <c r="O13" s="23"/>
      <c r="P13" s="24"/>
    </row>
    <row r="14" spans="7:16" ht="21" thickBot="1" x14ac:dyDescent="0.3">
      <c r="G14" s="35" t="s">
        <v>37</v>
      </c>
      <c r="H14" s="36" t="s">
        <v>38</v>
      </c>
      <c r="I14" s="36" t="s">
        <v>91</v>
      </c>
      <c r="J14" s="36" t="s">
        <v>40</v>
      </c>
      <c r="K14" s="54" t="s">
        <v>41</v>
      </c>
      <c r="L14" s="50" t="s">
        <v>42</v>
      </c>
      <c r="M14" s="50" t="s">
        <v>43</v>
      </c>
      <c r="N14" s="50" t="s">
        <v>95</v>
      </c>
      <c r="O14" s="50" t="s">
        <v>39</v>
      </c>
      <c r="P14" s="55" t="s">
        <v>45</v>
      </c>
    </row>
    <row r="15" spans="7:16" x14ac:dyDescent="0.25">
      <c r="G15" t="str">
        <f>COUNTIF($O$14:$O15,O15)&amp;O15</f>
        <v>1177000</v>
      </c>
      <c r="H15" t="str">
        <f>COUNTIF($P$14:$P15,P15)&amp;P15</f>
        <v>11.18</v>
      </c>
      <c r="I15" s="40">
        <f>0+SUBTOTAL(9,O15)</f>
        <v>177000</v>
      </c>
      <c r="J15" s="43">
        <f>0+SUBTOTAL(9,P15)</f>
        <v>1.18</v>
      </c>
      <c r="K15" s="7" t="s">
        <v>69</v>
      </c>
      <c r="L15" s="4" t="s">
        <v>53</v>
      </c>
      <c r="M15" s="4" t="s">
        <v>51</v>
      </c>
      <c r="N15" s="45">
        <v>150000</v>
      </c>
      <c r="O15" s="45">
        <v>177000</v>
      </c>
      <c r="P15" s="46">
        <f t="shared" ref="P15:P50" si="0">O15/N15</f>
        <v>1.18</v>
      </c>
    </row>
    <row r="16" spans="7:16" hidden="1" x14ac:dyDescent="0.25">
      <c r="G16" t="str">
        <f>COUNTIF($O$14:$O16,O16)&amp;O16</f>
        <v>1291000</v>
      </c>
      <c r="H16" t="str">
        <f>COUNTIF($P$14:$P16,P16)&amp;P16</f>
        <v>11.164</v>
      </c>
      <c r="I16" s="40">
        <f t="shared" ref="I16:J50" si="1">0+SUBTOTAL(9,O16)</f>
        <v>0</v>
      </c>
      <c r="J16" s="43">
        <f t="shared" si="1"/>
        <v>0</v>
      </c>
      <c r="K16" s="7" t="s">
        <v>75</v>
      </c>
      <c r="L16" s="4" t="s">
        <v>58</v>
      </c>
      <c r="M16" s="4" t="s">
        <v>59</v>
      </c>
      <c r="N16" s="45">
        <v>250000</v>
      </c>
      <c r="O16" s="45">
        <v>291000</v>
      </c>
      <c r="P16" s="46">
        <f t="shared" si="0"/>
        <v>1.1639999999999999</v>
      </c>
    </row>
    <row r="17" spans="7:16" hidden="1" x14ac:dyDescent="0.25">
      <c r="G17" t="str">
        <f>COUNTIF($O$14:$O17,O17)&amp;O17</f>
        <v>2177000</v>
      </c>
      <c r="H17" t="str">
        <f>COUNTIF($P$14:$P17,P17)&amp;P17</f>
        <v>11.10625</v>
      </c>
      <c r="I17" s="40">
        <f t="shared" si="1"/>
        <v>0</v>
      </c>
      <c r="J17" s="43">
        <f t="shared" si="1"/>
        <v>0</v>
      </c>
      <c r="K17" s="7" t="s">
        <v>68</v>
      </c>
      <c r="L17" s="4" t="s">
        <v>58</v>
      </c>
      <c r="M17" s="4" t="s">
        <v>51</v>
      </c>
      <c r="N17" s="45">
        <v>160000</v>
      </c>
      <c r="O17" s="45">
        <v>177000</v>
      </c>
      <c r="P17" s="46">
        <f t="shared" si="0"/>
        <v>1.10625</v>
      </c>
    </row>
    <row r="18" spans="7:16" hidden="1" x14ac:dyDescent="0.25">
      <c r="G18" t="str">
        <f>COUNTIF($O$14:$O18,O18)&amp;O18</f>
        <v>1215000</v>
      </c>
      <c r="H18" t="str">
        <f>COUNTIF($P$14:$P18,P18)&amp;P18</f>
        <v>11.075</v>
      </c>
      <c r="I18" s="40">
        <f t="shared" si="1"/>
        <v>0</v>
      </c>
      <c r="J18" s="43">
        <f t="shared" si="1"/>
        <v>0</v>
      </c>
      <c r="K18" s="7" t="s">
        <v>80</v>
      </c>
      <c r="L18" s="4" t="s">
        <v>58</v>
      </c>
      <c r="M18" s="4" t="s">
        <v>81</v>
      </c>
      <c r="N18" s="45">
        <v>200000</v>
      </c>
      <c r="O18" s="45">
        <v>215000</v>
      </c>
      <c r="P18" s="46">
        <f t="shared" si="0"/>
        <v>1.075</v>
      </c>
    </row>
    <row r="19" spans="7:16" hidden="1" x14ac:dyDescent="0.25">
      <c r="G19" t="str">
        <f>COUNTIF($O$14:$O19,O19)&amp;O19</f>
        <v>1100000</v>
      </c>
      <c r="H19" t="str">
        <f>COUNTIF($P$14:$P19,P19)&amp;P19</f>
        <v>10.666666666666667</v>
      </c>
      <c r="I19" s="40">
        <f t="shared" si="1"/>
        <v>0</v>
      </c>
      <c r="J19" s="43">
        <f t="shared" si="1"/>
        <v>0</v>
      </c>
      <c r="K19" s="7" t="s">
        <v>63</v>
      </c>
      <c r="L19" s="4" t="s">
        <v>58</v>
      </c>
      <c r="M19" s="4" t="s">
        <v>49</v>
      </c>
      <c r="N19" s="45">
        <v>150000</v>
      </c>
      <c r="O19" s="45">
        <v>100000</v>
      </c>
      <c r="P19" s="46">
        <f t="shared" si="0"/>
        <v>0.66666666666666663</v>
      </c>
    </row>
    <row r="20" spans="7:16" x14ac:dyDescent="0.25">
      <c r="G20" t="str">
        <f>COUNTIF($O$14:$O20,O20)&amp;O20</f>
        <v>1201000</v>
      </c>
      <c r="H20" t="str">
        <f>COUNTIF($P$14:$P20,P20)&amp;P20</f>
        <v>12.01</v>
      </c>
      <c r="I20" s="40">
        <f t="shared" si="1"/>
        <v>201000</v>
      </c>
      <c r="J20" s="43">
        <f t="shared" si="1"/>
        <v>2.0099999999999998</v>
      </c>
      <c r="K20" s="7" t="s">
        <v>66</v>
      </c>
      <c r="L20" s="4" t="s">
        <v>48</v>
      </c>
      <c r="M20" s="4" t="s">
        <v>49</v>
      </c>
      <c r="N20" s="45">
        <v>100000</v>
      </c>
      <c r="O20" s="45">
        <v>201000</v>
      </c>
      <c r="P20" s="46">
        <f t="shared" si="0"/>
        <v>2.0099999999999998</v>
      </c>
    </row>
    <row r="21" spans="7:16" x14ac:dyDescent="0.25">
      <c r="G21" t="str">
        <f>COUNTIF($O$14:$O23,O21)&amp;O21</f>
        <v>1134000</v>
      </c>
      <c r="H21" t="str">
        <f>COUNTIF($P$14:$P23,P21)&amp;P21</f>
        <v>11.34</v>
      </c>
      <c r="I21" s="40">
        <f t="shared" si="1"/>
        <v>134000</v>
      </c>
      <c r="J21" s="43">
        <f t="shared" si="1"/>
        <v>1.34</v>
      </c>
      <c r="K21" s="7" t="s">
        <v>78</v>
      </c>
      <c r="L21" s="4" t="s">
        <v>48</v>
      </c>
      <c r="M21" s="4" t="s">
        <v>59</v>
      </c>
      <c r="N21" s="45">
        <v>100000</v>
      </c>
      <c r="O21" s="45">
        <v>134000</v>
      </c>
      <c r="P21" s="46">
        <f t="shared" si="0"/>
        <v>1.34</v>
      </c>
    </row>
    <row r="22" spans="7:16" x14ac:dyDescent="0.25">
      <c r="G22" t="str">
        <f>COUNTIF($O$14:$O22,O22)&amp;O22</f>
        <v>1159600</v>
      </c>
      <c r="H22" t="str">
        <f>COUNTIF($P$14:$P22,P22)&amp;P22</f>
        <v>11.33</v>
      </c>
      <c r="I22" s="40">
        <f t="shared" si="1"/>
        <v>159600</v>
      </c>
      <c r="J22" s="43">
        <f t="shared" si="1"/>
        <v>1.33</v>
      </c>
      <c r="K22" s="7" t="s">
        <v>64</v>
      </c>
      <c r="L22" s="4" t="s">
        <v>53</v>
      </c>
      <c r="M22" s="4" t="s">
        <v>49</v>
      </c>
      <c r="N22" s="45">
        <v>120000</v>
      </c>
      <c r="O22" s="45">
        <v>159600</v>
      </c>
      <c r="P22" s="46">
        <f t="shared" si="0"/>
        <v>1.33</v>
      </c>
    </row>
    <row r="23" spans="7:16" x14ac:dyDescent="0.25">
      <c r="G23" t="str">
        <f>COUNTIF($O$14:$O23,O23)&amp;O23</f>
        <v>1150000</v>
      </c>
      <c r="H23" t="str">
        <f>COUNTIF($P$14:$P23,P23)&amp;P23</f>
        <v>11.25</v>
      </c>
      <c r="I23" s="40">
        <f t="shared" si="1"/>
        <v>150000</v>
      </c>
      <c r="J23" s="43">
        <f t="shared" si="1"/>
        <v>1.25</v>
      </c>
      <c r="K23" s="7" t="s">
        <v>77</v>
      </c>
      <c r="L23" s="4" t="s">
        <v>53</v>
      </c>
      <c r="M23" s="4" t="s">
        <v>59</v>
      </c>
      <c r="N23" s="45">
        <v>120000</v>
      </c>
      <c r="O23" s="45">
        <v>150000</v>
      </c>
      <c r="P23" s="46">
        <f t="shared" si="0"/>
        <v>1.25</v>
      </c>
    </row>
    <row r="24" spans="7:16" hidden="1" x14ac:dyDescent="0.25">
      <c r="G24" t="str">
        <f>COUNTIF($O$14:$O24,O24)&amp;O24</f>
        <v>2150000</v>
      </c>
      <c r="H24" t="str">
        <f>COUNTIF($P$14:$P24,P24)&amp;P24</f>
        <v>21.25</v>
      </c>
      <c r="I24" s="40">
        <f t="shared" si="1"/>
        <v>0</v>
      </c>
      <c r="J24" s="43">
        <f t="shared" si="1"/>
        <v>0</v>
      </c>
      <c r="K24" s="7" t="s">
        <v>83</v>
      </c>
      <c r="L24" s="4" t="s">
        <v>48</v>
      </c>
      <c r="M24" s="4" t="s">
        <v>81</v>
      </c>
      <c r="N24" s="45">
        <v>120000</v>
      </c>
      <c r="O24" s="45">
        <v>150000</v>
      </c>
      <c r="P24" s="46">
        <f t="shared" si="0"/>
        <v>1.25</v>
      </c>
    </row>
    <row r="25" spans="7:16" x14ac:dyDescent="0.25">
      <c r="G25" t="str">
        <f>COUNTIF($O$14:$O25,O25)&amp;O25</f>
        <v>1122000</v>
      </c>
      <c r="H25" t="str">
        <f>COUNTIF($P$14:$P25,P25)&amp;P25</f>
        <v>11.22</v>
      </c>
      <c r="I25" s="40">
        <f t="shared" si="1"/>
        <v>122000</v>
      </c>
      <c r="J25" s="43">
        <f t="shared" si="1"/>
        <v>1.22</v>
      </c>
      <c r="K25" s="7" t="s">
        <v>60</v>
      </c>
      <c r="L25" s="4" t="s">
        <v>53</v>
      </c>
      <c r="M25" s="4" t="s">
        <v>49</v>
      </c>
      <c r="N25" s="45">
        <v>100000</v>
      </c>
      <c r="O25" s="45">
        <v>122000</v>
      </c>
      <c r="P25" s="46">
        <f t="shared" si="0"/>
        <v>1.22</v>
      </c>
    </row>
    <row r="26" spans="7:16" x14ac:dyDescent="0.25">
      <c r="G26" t="str">
        <f>COUNTIF($O$14:$O26,O26)&amp;O26</f>
        <v>1139000</v>
      </c>
      <c r="H26" t="str">
        <f>COUNTIF($P$14:$P26,P26)&amp;P26</f>
        <v>11.15833333333333</v>
      </c>
      <c r="I26" s="40">
        <f t="shared" si="1"/>
        <v>139000</v>
      </c>
      <c r="J26" s="43">
        <f t="shared" si="1"/>
        <v>1.1583333333333334</v>
      </c>
      <c r="K26" s="7" t="s">
        <v>55</v>
      </c>
      <c r="L26" s="4" t="s">
        <v>53</v>
      </c>
      <c r="M26" s="4" t="s">
        <v>49</v>
      </c>
      <c r="N26" s="45">
        <v>120000</v>
      </c>
      <c r="O26" s="45">
        <v>139000</v>
      </c>
      <c r="P26" s="46">
        <f t="shared" si="0"/>
        <v>1.1583333333333334</v>
      </c>
    </row>
    <row r="27" spans="7:16" x14ac:dyDescent="0.25">
      <c r="G27" t="str">
        <f>COUNTIF($O$14:$O27,O27)&amp;O27</f>
        <v>1138000</v>
      </c>
      <c r="H27" t="str">
        <f>COUNTIF($P$14:$P27,P27)&amp;P27</f>
        <v>11.15</v>
      </c>
      <c r="I27" s="40">
        <f t="shared" si="1"/>
        <v>138000</v>
      </c>
      <c r="J27" s="43">
        <f t="shared" si="1"/>
        <v>1.1499999999999999</v>
      </c>
      <c r="K27" s="7" t="s">
        <v>47</v>
      </c>
      <c r="L27" s="4" t="s">
        <v>48</v>
      </c>
      <c r="M27" s="4" t="s">
        <v>49</v>
      </c>
      <c r="N27" s="45">
        <v>120000</v>
      </c>
      <c r="O27" s="45">
        <v>138000</v>
      </c>
      <c r="P27" s="46">
        <f t="shared" si="0"/>
        <v>1.1499999999999999</v>
      </c>
    </row>
    <row r="28" spans="7:16" x14ac:dyDescent="0.25">
      <c r="G28" t="str">
        <f>COUNTIF($O$14:$O28,O28)&amp;O28</f>
        <v>1114000</v>
      </c>
      <c r="H28" t="str">
        <f>COUNTIF($P$14:$P28,P28)&amp;P28</f>
        <v>11.14</v>
      </c>
      <c r="I28" s="40">
        <f t="shared" si="1"/>
        <v>114000</v>
      </c>
      <c r="J28" s="43">
        <f t="shared" si="1"/>
        <v>1.1399999999999999</v>
      </c>
      <c r="K28" s="7" t="s">
        <v>67</v>
      </c>
      <c r="L28" s="4" t="s">
        <v>48</v>
      </c>
      <c r="M28" s="4" t="s">
        <v>49</v>
      </c>
      <c r="N28" s="45">
        <v>100000</v>
      </c>
      <c r="O28" s="45">
        <v>114000</v>
      </c>
      <c r="P28" s="46">
        <f t="shared" si="0"/>
        <v>1.1399999999999999</v>
      </c>
    </row>
    <row r="29" spans="7:16" x14ac:dyDescent="0.25">
      <c r="G29" t="str">
        <f>COUNTIF($O$14:$O29,O29)&amp;O29</f>
        <v>1124000</v>
      </c>
      <c r="H29" t="str">
        <f>COUNTIF($P$14:$P29,P29)&amp;P29</f>
        <v>11.12727272727273</v>
      </c>
      <c r="I29" s="40">
        <f t="shared" si="1"/>
        <v>124000</v>
      </c>
      <c r="J29" s="43">
        <f t="shared" si="1"/>
        <v>1.1272727272727272</v>
      </c>
      <c r="K29" s="7" t="s">
        <v>76</v>
      </c>
      <c r="L29" s="4" t="s">
        <v>53</v>
      </c>
      <c r="M29" s="4" t="s">
        <v>59</v>
      </c>
      <c r="N29" s="45">
        <v>110000</v>
      </c>
      <c r="O29" s="45">
        <v>124000</v>
      </c>
      <c r="P29" s="46">
        <f t="shared" si="0"/>
        <v>1.1272727272727272</v>
      </c>
    </row>
    <row r="30" spans="7:16" x14ac:dyDescent="0.25">
      <c r="G30" t="str">
        <f>COUNTIF($O$14:$O30,O30)&amp;O30</f>
        <v>1110000</v>
      </c>
      <c r="H30" t="str">
        <f>COUNTIF($P$14:$P30,P30)&amp;P30</f>
        <v>11.1</v>
      </c>
      <c r="I30" s="40">
        <f t="shared" si="1"/>
        <v>110000</v>
      </c>
      <c r="J30" s="43">
        <f t="shared" si="1"/>
        <v>1.1000000000000001</v>
      </c>
      <c r="K30" s="7" t="s">
        <v>72</v>
      </c>
      <c r="L30" s="4" t="s">
        <v>48</v>
      </c>
      <c r="M30" s="4" t="s">
        <v>51</v>
      </c>
      <c r="N30" s="45">
        <v>100000</v>
      </c>
      <c r="O30" s="45">
        <v>110000</v>
      </c>
      <c r="P30" s="46">
        <f t="shared" si="0"/>
        <v>1.1000000000000001</v>
      </c>
    </row>
    <row r="31" spans="7:16" hidden="1" x14ac:dyDescent="0.25">
      <c r="G31" t="str">
        <f>COUNTIF($O$14:$O31,O31)&amp;O31</f>
        <v>1137000</v>
      </c>
      <c r="H31" t="str">
        <f>COUNTIF($P$14:$P31,P31)&amp;P31</f>
        <v>11.096</v>
      </c>
      <c r="I31" s="40">
        <f t="shared" si="1"/>
        <v>0</v>
      </c>
      <c r="J31" s="43">
        <f t="shared" si="1"/>
        <v>0</v>
      </c>
      <c r="K31" s="7" t="s">
        <v>57</v>
      </c>
      <c r="L31" s="4" t="s">
        <v>58</v>
      </c>
      <c r="M31" s="4" t="s">
        <v>59</v>
      </c>
      <c r="N31" s="45">
        <v>125000</v>
      </c>
      <c r="O31" s="45">
        <v>137000</v>
      </c>
      <c r="P31" s="46">
        <f t="shared" si="0"/>
        <v>1.0960000000000001</v>
      </c>
    </row>
    <row r="32" spans="7:16" x14ac:dyDescent="0.25">
      <c r="G32" t="str">
        <f>COUNTIF($O$14:$O32,O32)&amp;O32</f>
        <v>1142000</v>
      </c>
      <c r="H32" t="str">
        <f>COUNTIF($P$14:$P32,P32)&amp;P32</f>
        <v>11.01428571428571</v>
      </c>
      <c r="I32" s="40">
        <f t="shared" si="1"/>
        <v>142000</v>
      </c>
      <c r="J32" s="43">
        <f t="shared" si="1"/>
        <v>1.0142857142857142</v>
      </c>
      <c r="K32" s="7" t="s">
        <v>89</v>
      </c>
      <c r="L32" s="4" t="s">
        <v>48</v>
      </c>
      <c r="M32" s="4" t="s">
        <v>49</v>
      </c>
      <c r="N32" s="45">
        <v>140000</v>
      </c>
      <c r="O32" s="45">
        <v>142000</v>
      </c>
      <c r="P32" s="46">
        <f t="shared" si="0"/>
        <v>1.0142857142857142</v>
      </c>
    </row>
    <row r="33" spans="7:16" x14ac:dyDescent="0.25">
      <c r="G33" t="str">
        <f>COUNTIF($O$14:$O33,O33)&amp;O33</f>
        <v>1101000</v>
      </c>
      <c r="H33" t="str">
        <f>COUNTIF($P$14:$P33,P33)&amp;P33</f>
        <v>11.01</v>
      </c>
      <c r="I33" s="40">
        <f t="shared" si="1"/>
        <v>101000</v>
      </c>
      <c r="J33" s="43">
        <f t="shared" si="1"/>
        <v>1.01</v>
      </c>
      <c r="K33" s="7" t="s">
        <v>50</v>
      </c>
      <c r="L33" s="4" t="s">
        <v>48</v>
      </c>
      <c r="M33" s="4" t="s">
        <v>51</v>
      </c>
      <c r="N33" s="45">
        <v>100000</v>
      </c>
      <c r="O33" s="45">
        <v>101000</v>
      </c>
      <c r="P33" s="46">
        <f t="shared" si="0"/>
        <v>1.01</v>
      </c>
    </row>
    <row r="34" spans="7:16" x14ac:dyDescent="0.25">
      <c r="G34" t="str">
        <f>COUNTIF($O$14:$O34,O34)&amp;O34</f>
        <v>198000</v>
      </c>
      <c r="H34" t="str">
        <f>COUNTIF($P$14:$P34,P34)&amp;P34</f>
        <v>10.98</v>
      </c>
      <c r="I34" s="40">
        <f t="shared" si="1"/>
        <v>98000</v>
      </c>
      <c r="J34" s="43">
        <f t="shared" si="1"/>
        <v>0.98</v>
      </c>
      <c r="K34" s="7" t="s">
        <v>65</v>
      </c>
      <c r="L34" s="4" t="s">
        <v>48</v>
      </c>
      <c r="M34" s="4" t="s">
        <v>49</v>
      </c>
      <c r="N34" s="45">
        <v>100000</v>
      </c>
      <c r="O34" s="45">
        <v>98000</v>
      </c>
      <c r="P34" s="46">
        <f t="shared" si="0"/>
        <v>0.98</v>
      </c>
    </row>
    <row r="35" spans="7:16" x14ac:dyDescent="0.25">
      <c r="G35" t="str">
        <f>COUNTIF($O$14:$O35,O35)&amp;O35</f>
        <v>185000</v>
      </c>
      <c r="H35" t="str">
        <f>COUNTIF($P$14:$P35,P35)&amp;P35</f>
        <v>10.85</v>
      </c>
      <c r="I35" s="40">
        <f t="shared" si="1"/>
        <v>85000</v>
      </c>
      <c r="J35" s="43">
        <f t="shared" si="1"/>
        <v>0.85</v>
      </c>
      <c r="K35" s="7" t="s">
        <v>79</v>
      </c>
      <c r="L35" s="4" t="s">
        <v>48</v>
      </c>
      <c r="M35" s="4" t="s">
        <v>59</v>
      </c>
      <c r="N35" s="45">
        <v>100000</v>
      </c>
      <c r="O35" s="45">
        <v>85000</v>
      </c>
      <c r="P35" s="46">
        <f t="shared" si="0"/>
        <v>0.85</v>
      </c>
    </row>
    <row r="36" spans="7:16" hidden="1" x14ac:dyDescent="0.25">
      <c r="G36" t="str">
        <f>COUNTIF($O$14:$O36,O36)&amp;O36</f>
        <v>195000</v>
      </c>
      <c r="H36" t="str">
        <f>COUNTIF($P$14:$P36,P36)&amp;P36</f>
        <v>10.791666666666667</v>
      </c>
      <c r="I36" s="40">
        <f t="shared" si="1"/>
        <v>0</v>
      </c>
      <c r="J36" s="43">
        <f t="shared" si="1"/>
        <v>0</v>
      </c>
      <c r="K36" s="7" t="s">
        <v>86</v>
      </c>
      <c r="L36" s="4" t="s">
        <v>48</v>
      </c>
      <c r="M36" s="4" t="s">
        <v>54</v>
      </c>
      <c r="N36" s="45">
        <v>120000</v>
      </c>
      <c r="O36" s="45">
        <v>95000</v>
      </c>
      <c r="P36" s="46">
        <f t="shared" si="0"/>
        <v>0.79166666666666663</v>
      </c>
    </row>
    <row r="37" spans="7:16" hidden="1" x14ac:dyDescent="0.25">
      <c r="G37" t="str">
        <f>COUNTIF($O$14:$O37,O37)&amp;O37</f>
        <v>1109000</v>
      </c>
      <c r="H37" t="str">
        <f>COUNTIF($P$14:$P37,P37)&amp;P37</f>
        <v>10.778571428571429</v>
      </c>
      <c r="I37" s="40">
        <f t="shared" si="1"/>
        <v>0</v>
      </c>
      <c r="J37" s="43">
        <f t="shared" si="1"/>
        <v>0</v>
      </c>
      <c r="K37" s="7" t="s">
        <v>62</v>
      </c>
      <c r="L37" s="4" t="s">
        <v>58</v>
      </c>
      <c r="M37" s="4" t="s">
        <v>49</v>
      </c>
      <c r="N37" s="45">
        <v>140000</v>
      </c>
      <c r="O37" s="45">
        <v>109000</v>
      </c>
      <c r="P37" s="46">
        <f t="shared" si="0"/>
        <v>0.77857142857142858</v>
      </c>
    </row>
    <row r="38" spans="7:16" hidden="1" x14ac:dyDescent="0.25">
      <c r="G38" t="str">
        <f>COUNTIF($O$14:$O38,O38)&amp;O38</f>
        <v>1121000</v>
      </c>
      <c r="H38" t="str">
        <f>COUNTIF($P$14:$P38,P38)&amp;P38</f>
        <v>10.75625</v>
      </c>
      <c r="I38" s="40">
        <f t="shared" si="1"/>
        <v>0</v>
      </c>
      <c r="J38" s="43">
        <f t="shared" si="1"/>
        <v>0</v>
      </c>
      <c r="K38" s="7" t="s">
        <v>82</v>
      </c>
      <c r="L38" s="4" t="s">
        <v>53</v>
      </c>
      <c r="M38" s="4" t="s">
        <v>81</v>
      </c>
      <c r="N38" s="45">
        <v>160000</v>
      </c>
      <c r="O38" s="45">
        <v>121000</v>
      </c>
      <c r="P38" s="46">
        <f t="shared" si="0"/>
        <v>0.75624999999999998</v>
      </c>
    </row>
    <row r="39" spans="7:16" hidden="1" x14ac:dyDescent="0.25">
      <c r="G39" t="str">
        <f>COUNTIF($O$14:$O39,O39)&amp;O39</f>
        <v>189000</v>
      </c>
      <c r="H39" t="str">
        <f>COUNTIF($P$14:$P39,P39)&amp;P39</f>
        <v>10.712</v>
      </c>
      <c r="I39" s="40">
        <f t="shared" si="1"/>
        <v>0</v>
      </c>
      <c r="J39" s="43">
        <f t="shared" si="1"/>
        <v>0</v>
      </c>
      <c r="K39" s="7" t="s">
        <v>52</v>
      </c>
      <c r="L39" s="4" t="s">
        <v>53</v>
      </c>
      <c r="M39" s="4" t="s">
        <v>54</v>
      </c>
      <c r="N39" s="45">
        <v>125000</v>
      </c>
      <c r="O39" s="45">
        <v>89000</v>
      </c>
      <c r="P39" s="46">
        <f t="shared" si="0"/>
        <v>0.71199999999999997</v>
      </c>
    </row>
    <row r="40" spans="7:16" x14ac:dyDescent="0.25">
      <c r="G40" t="str">
        <f>COUNTIF($O$14:$O40,O40)&amp;O40</f>
        <v>136000</v>
      </c>
      <c r="H40" t="str">
        <f>COUNTIF($P$14:$P40,P40)&amp;P40</f>
        <v>10.327272727272727</v>
      </c>
      <c r="I40" s="40">
        <f t="shared" si="1"/>
        <v>36000</v>
      </c>
      <c r="J40" s="43">
        <f t="shared" si="1"/>
        <v>0.32727272727272727</v>
      </c>
      <c r="K40" s="7" t="s">
        <v>74</v>
      </c>
      <c r="L40" s="4" t="s">
        <v>48</v>
      </c>
      <c r="M40" s="4" t="s">
        <v>51</v>
      </c>
      <c r="N40" s="45">
        <v>110000</v>
      </c>
      <c r="O40" s="45">
        <v>36000</v>
      </c>
      <c r="P40" s="46">
        <f t="shared" si="0"/>
        <v>0.32727272727272727</v>
      </c>
    </row>
    <row r="41" spans="7:16" x14ac:dyDescent="0.25">
      <c r="G41" t="str">
        <f>COUNTIF($O$14:$O41,O41)&amp;O41</f>
        <v>192000</v>
      </c>
      <c r="H41" t="str">
        <f>COUNTIF($P$14:$P41,P41)&amp;P41</f>
        <v>21.15</v>
      </c>
      <c r="I41" s="40">
        <f t="shared" si="1"/>
        <v>92000</v>
      </c>
      <c r="J41" s="43">
        <f t="shared" si="1"/>
        <v>1.1499999999999999</v>
      </c>
      <c r="K41" s="7" t="s">
        <v>56</v>
      </c>
      <c r="L41" s="4" t="s">
        <v>48</v>
      </c>
      <c r="M41" s="4" t="s">
        <v>49</v>
      </c>
      <c r="N41" s="45">
        <v>80000</v>
      </c>
      <c r="O41" s="45">
        <v>92000</v>
      </c>
      <c r="P41" s="46">
        <f t="shared" si="0"/>
        <v>1.1499999999999999</v>
      </c>
    </row>
    <row r="42" spans="7:16" x14ac:dyDescent="0.25">
      <c r="G42" t="str">
        <f>COUNTIF($O$14:$O42,O42)&amp;O42</f>
        <v>292000</v>
      </c>
      <c r="H42" t="str">
        <f>COUNTIF($P$14:$P42,P42)&amp;P42</f>
        <v>31.15</v>
      </c>
      <c r="I42" s="40">
        <f t="shared" si="1"/>
        <v>92000</v>
      </c>
      <c r="J42" s="43">
        <f t="shared" si="1"/>
        <v>1.1499999999999999</v>
      </c>
      <c r="K42" s="7" t="s">
        <v>71</v>
      </c>
      <c r="L42" s="4" t="s">
        <v>48</v>
      </c>
      <c r="M42" s="4" t="s">
        <v>51</v>
      </c>
      <c r="N42" s="45">
        <v>80000</v>
      </c>
      <c r="O42" s="45">
        <v>92000</v>
      </c>
      <c r="P42" s="46">
        <f t="shared" si="0"/>
        <v>1.1499999999999999</v>
      </c>
    </row>
    <row r="43" spans="7:16" x14ac:dyDescent="0.25">
      <c r="G43" t="str">
        <f>COUNTIF($O$14:$O43,O43)&amp;O43</f>
        <v>176000</v>
      </c>
      <c r="H43" t="str">
        <f>COUNTIF($P$14:$P43,P43)&amp;P43</f>
        <v>10.95</v>
      </c>
      <c r="I43" s="40">
        <f t="shared" si="1"/>
        <v>76000</v>
      </c>
      <c r="J43" s="43">
        <f t="shared" si="1"/>
        <v>0.95</v>
      </c>
      <c r="K43" s="7" t="s">
        <v>70</v>
      </c>
      <c r="L43" s="4" t="s">
        <v>48</v>
      </c>
      <c r="M43" s="4" t="s">
        <v>51</v>
      </c>
      <c r="N43" s="45">
        <v>80000</v>
      </c>
      <c r="O43" s="45">
        <v>76000</v>
      </c>
      <c r="P43" s="46">
        <f t="shared" si="0"/>
        <v>0.95</v>
      </c>
    </row>
    <row r="44" spans="7:16" hidden="1" x14ac:dyDescent="0.25">
      <c r="G44" t="str">
        <f>COUNTIF($O$14:$O44,O44)&amp;O44</f>
        <v>1130000</v>
      </c>
      <c r="H44" t="str">
        <f>COUNTIF($P$14:$P44,P44)&amp;P44</f>
        <v>11.08333333333333</v>
      </c>
      <c r="I44" s="40">
        <f t="shared" si="1"/>
        <v>0</v>
      </c>
      <c r="J44" s="43">
        <f t="shared" si="1"/>
        <v>0</v>
      </c>
      <c r="K44" s="7" t="s">
        <v>61</v>
      </c>
      <c r="L44" s="4" t="s">
        <v>58</v>
      </c>
      <c r="M44" s="4" t="s">
        <v>49</v>
      </c>
      <c r="N44" s="45">
        <v>120000</v>
      </c>
      <c r="O44" s="45">
        <v>130000</v>
      </c>
      <c r="P44" s="46">
        <f t="shared" si="0"/>
        <v>1.0833333333333333</v>
      </c>
    </row>
    <row r="45" spans="7:16" hidden="1" x14ac:dyDescent="0.25">
      <c r="G45" t="str">
        <f>COUNTIF($O$14:$O45,O45)&amp;O45</f>
        <v>147000</v>
      </c>
      <c r="H45" t="str">
        <f>COUNTIF($P$14:$P45,P45)&amp;P45</f>
        <v>10.5875</v>
      </c>
      <c r="I45" s="40">
        <f t="shared" si="1"/>
        <v>0</v>
      </c>
      <c r="J45" s="43">
        <f t="shared" si="1"/>
        <v>0</v>
      </c>
      <c r="K45" s="7" t="s">
        <v>84</v>
      </c>
      <c r="L45" s="4" t="s">
        <v>48</v>
      </c>
      <c r="M45" s="4" t="s">
        <v>81</v>
      </c>
      <c r="N45" s="45">
        <v>80000</v>
      </c>
      <c r="O45" s="45">
        <v>47000</v>
      </c>
      <c r="P45" s="46">
        <f t="shared" si="0"/>
        <v>0.58750000000000002</v>
      </c>
    </row>
    <row r="46" spans="7:16" hidden="1" x14ac:dyDescent="0.25">
      <c r="G46" t="str">
        <f>COUNTIF($O$14:$O46,O46)&amp;O46</f>
        <v>150000</v>
      </c>
      <c r="H46" t="str">
        <f>COUNTIF($P$14:$P46,P46)&amp;P46</f>
        <v>10.625</v>
      </c>
      <c r="I46" s="40">
        <f t="shared" si="1"/>
        <v>0</v>
      </c>
      <c r="J46" s="43">
        <f t="shared" si="1"/>
        <v>0</v>
      </c>
      <c r="K46" s="7" t="s">
        <v>87</v>
      </c>
      <c r="L46" s="4" t="s">
        <v>48</v>
      </c>
      <c r="M46" s="4" t="s">
        <v>54</v>
      </c>
      <c r="N46" s="45">
        <v>80000</v>
      </c>
      <c r="O46" s="45">
        <v>50000</v>
      </c>
      <c r="P46" s="46">
        <f t="shared" si="0"/>
        <v>0.625</v>
      </c>
    </row>
    <row r="47" spans="7:16" hidden="1" x14ac:dyDescent="0.25">
      <c r="G47" t="str">
        <f>COUNTIF($O$14:$O47,O47)&amp;O47</f>
        <v>1100500</v>
      </c>
      <c r="H47" t="str">
        <f>COUNTIF($P$14:$P47,P47)&amp;P47</f>
        <v>21.34</v>
      </c>
      <c r="I47" s="40">
        <f t="shared" si="1"/>
        <v>0</v>
      </c>
      <c r="J47" s="43">
        <f t="shared" si="1"/>
        <v>0</v>
      </c>
      <c r="K47" s="7" t="s">
        <v>85</v>
      </c>
      <c r="L47" s="4" t="s">
        <v>48</v>
      </c>
      <c r="M47" s="4" t="s">
        <v>81</v>
      </c>
      <c r="N47" s="45">
        <v>75000</v>
      </c>
      <c r="O47" s="45">
        <v>100500</v>
      </c>
      <c r="P47" s="46">
        <f t="shared" si="0"/>
        <v>1.34</v>
      </c>
    </row>
    <row r="48" spans="7:16" x14ac:dyDescent="0.25">
      <c r="G48" t="str">
        <f>COUNTIF($O$14:$O48,O48)&amp;O48</f>
        <v>2100000</v>
      </c>
      <c r="H48" t="str">
        <f>COUNTIF($P$14:$P48,P48)&amp;P48</f>
        <v>31.25</v>
      </c>
      <c r="I48" s="40">
        <f t="shared" si="1"/>
        <v>100000</v>
      </c>
      <c r="J48" s="43">
        <f t="shared" si="1"/>
        <v>1.25</v>
      </c>
      <c r="K48" s="7" t="s">
        <v>73</v>
      </c>
      <c r="L48" s="4" t="s">
        <v>53</v>
      </c>
      <c r="M48" s="4" t="s">
        <v>51</v>
      </c>
      <c r="N48" s="45">
        <v>80000</v>
      </c>
      <c r="O48" s="45">
        <v>100000</v>
      </c>
      <c r="P48" s="46">
        <f t="shared" si="0"/>
        <v>1.25</v>
      </c>
    </row>
    <row r="49" spans="7:16" hidden="1" x14ac:dyDescent="0.25">
      <c r="G49" t="str">
        <f>COUNTIF($O$14:$O49,O49)&amp;O49</f>
        <v>142000</v>
      </c>
      <c r="H49" t="str">
        <f>COUNTIF($P$14:$P49,P49)&amp;P49</f>
        <v>10.7</v>
      </c>
      <c r="I49" s="40">
        <f t="shared" si="1"/>
        <v>0</v>
      </c>
      <c r="J49" s="43">
        <f t="shared" si="1"/>
        <v>0</v>
      </c>
      <c r="K49" s="7" t="s">
        <v>88</v>
      </c>
      <c r="L49" s="4" t="s">
        <v>48</v>
      </c>
      <c r="M49" s="4" t="s">
        <v>54</v>
      </c>
      <c r="N49" s="45">
        <v>60000</v>
      </c>
      <c r="O49" s="45">
        <v>42000</v>
      </c>
      <c r="P49" s="46">
        <f t="shared" si="0"/>
        <v>0.7</v>
      </c>
    </row>
    <row r="50" spans="7:16" x14ac:dyDescent="0.25">
      <c r="G50" t="str">
        <f>COUNTIF($O$14:$O50,O50)&amp;O50</f>
        <v>140000</v>
      </c>
      <c r="H50" t="str">
        <f>COUNTIF($P$14:$P50,P50)&amp;P50</f>
        <v>10.5</v>
      </c>
      <c r="I50" s="40">
        <f t="shared" si="1"/>
        <v>40000</v>
      </c>
      <c r="J50" s="43">
        <f t="shared" si="1"/>
        <v>0.5</v>
      </c>
      <c r="K50" s="7" t="s">
        <v>90</v>
      </c>
      <c r="L50" s="4" t="s">
        <v>48</v>
      </c>
      <c r="M50" s="4" t="s">
        <v>49</v>
      </c>
      <c r="N50" s="45">
        <v>80000</v>
      </c>
      <c r="O50" s="45">
        <v>40000</v>
      </c>
      <c r="P50" s="46">
        <f t="shared" si="0"/>
        <v>0.5</v>
      </c>
    </row>
  </sheetData>
  <sheetProtection autoFilter="0"/>
  <pageMargins left="0.23622047244094491" right="0.23622047244094491" top="0.43307086614173229" bottom="0.43307086614173229" header="0.23622047244094491" footer="0.23622047244094491"/>
  <pageSetup paperSize="9" scale="80" orientation="landscape" r:id="rId1"/>
  <headerFooter alignWithMargins="0">
    <oddFooter>&amp;L&amp;8&amp;D &amp;T&amp;C&amp;8&amp;Z&amp;F&amp;R&amp;8&amp;P of &amp;N</oddFooter>
  </headerFooter>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9A00"/>
  </sheetPr>
  <dimension ref="G7:P50"/>
  <sheetViews>
    <sheetView topLeftCell="K11" zoomScaleNormal="100" workbookViewId="0">
      <pane xSplit="3" ySplit="4" topLeftCell="N15" activePane="bottomRight" state="frozen"/>
      <selection activeCell="K11" sqref="K11"/>
      <selection pane="topRight" activeCell="N11" sqref="N11"/>
      <selection pane="bottomLeft" activeCell="K15" sqref="K15"/>
      <selection pane="bottomRight" activeCell="V18" sqref="V18"/>
    </sheetView>
  </sheetViews>
  <sheetFormatPr defaultRowHeight="10.3" x14ac:dyDescent="0.25"/>
  <cols>
    <col min="1" max="1" width="50.81640625" customWidth="1"/>
    <col min="8" max="8" width="7.6328125" customWidth="1"/>
    <col min="9" max="9" width="9.6328125" style="40" customWidth="1"/>
    <col min="10" max="10" width="7.81640625" style="43" customWidth="1"/>
    <col min="11" max="11" width="8.6328125" customWidth="1"/>
    <col min="12" max="12" width="12.36328125" bestFit="1" customWidth="1"/>
    <col min="13" max="13" width="11.453125" bestFit="1" customWidth="1"/>
    <col min="14" max="15" width="8" customWidth="1"/>
    <col min="16" max="16" width="6.453125" customWidth="1"/>
  </cols>
  <sheetData>
    <row r="7" spans="7:16" x14ac:dyDescent="0.25">
      <c r="G7" s="37" t="s">
        <v>46</v>
      </c>
      <c r="H7" s="37"/>
      <c r="I7" s="39"/>
      <c r="J7" s="44"/>
      <c r="K7" s="38"/>
      <c r="L7" s="38"/>
      <c r="M7" s="38"/>
      <c r="N7" s="38"/>
      <c r="O7" s="38"/>
      <c r="P7" s="37" t="s">
        <v>46</v>
      </c>
    </row>
    <row r="8" spans="7:16" x14ac:dyDescent="0.25">
      <c r="G8" t="str">
        <f>COUNTIF($O8:$O$14,O8)&amp;O8</f>
        <v>0</v>
      </c>
      <c r="H8" t="e">
        <f>COUNTIF($P8:$P$14,P8)&amp;P8</f>
        <v>#DIV/0!</v>
      </c>
      <c r="I8" s="40">
        <f>0+SUBTOTAL(9,O8)</f>
        <v>0</v>
      </c>
      <c r="J8" s="43" t="e">
        <f>0+SUBTOTAL(9,P8)</f>
        <v>#DIV/0!</v>
      </c>
      <c r="K8" s="38"/>
      <c r="L8" s="38"/>
      <c r="M8" s="38"/>
      <c r="N8" s="38"/>
      <c r="O8" s="38"/>
      <c r="P8" s="43" t="e">
        <f>O8/N8</f>
        <v>#DIV/0!</v>
      </c>
    </row>
    <row r="10" spans="7:16" ht="10.75" thickBot="1" x14ac:dyDescent="0.3">
      <c r="K10" t="s">
        <v>41</v>
      </c>
      <c r="L10" t="s">
        <v>42</v>
      </c>
      <c r="M10" t="s">
        <v>43</v>
      </c>
      <c r="N10" t="s">
        <v>44</v>
      </c>
      <c r="O10" t="s">
        <v>39</v>
      </c>
      <c r="P10" t="s">
        <v>94</v>
      </c>
    </row>
    <row r="11" spans="7:16" ht="15.45" x14ac:dyDescent="0.25">
      <c r="G11" s="31"/>
      <c r="H11" s="20"/>
      <c r="I11" s="41"/>
      <c r="J11" s="51"/>
      <c r="K11" s="48" t="s">
        <v>35</v>
      </c>
      <c r="L11" s="20"/>
      <c r="M11" s="20"/>
      <c r="N11" s="20"/>
      <c r="O11" s="20"/>
      <c r="P11" s="21"/>
    </row>
    <row r="12" spans="7:16" ht="15.45" x14ac:dyDescent="0.25">
      <c r="G12" s="32"/>
      <c r="H12" s="23"/>
      <c r="I12" s="42"/>
      <c r="J12" s="52"/>
      <c r="K12" s="22"/>
      <c r="L12" s="23"/>
      <c r="M12" s="23"/>
      <c r="N12" s="23"/>
      <c r="O12" s="23"/>
      <c r="P12" s="24"/>
    </row>
    <row r="13" spans="7:16" ht="12.45" x14ac:dyDescent="0.25">
      <c r="G13" s="33" t="s">
        <v>36</v>
      </c>
      <c r="H13" s="34"/>
      <c r="I13" s="47"/>
      <c r="J13" s="53"/>
      <c r="K13" s="49" t="str">
        <f>kPeriod</f>
        <v>2024 Q4</v>
      </c>
      <c r="L13" s="23"/>
      <c r="M13" s="23"/>
      <c r="N13" s="23"/>
      <c r="O13" s="23"/>
      <c r="P13" s="24"/>
    </row>
    <row r="14" spans="7:16" ht="21" thickBot="1" x14ac:dyDescent="0.3">
      <c r="G14" s="35" t="s">
        <v>37</v>
      </c>
      <c r="H14" s="36" t="s">
        <v>38</v>
      </c>
      <c r="I14" s="36" t="s">
        <v>91</v>
      </c>
      <c r="J14" s="36" t="s">
        <v>40</v>
      </c>
      <c r="K14" s="54" t="s">
        <v>41</v>
      </c>
      <c r="L14" s="50" t="s">
        <v>42</v>
      </c>
      <c r="M14" s="50" t="s">
        <v>43</v>
      </c>
      <c r="N14" s="50" t="s">
        <v>95</v>
      </c>
      <c r="O14" s="50" t="s">
        <v>39</v>
      </c>
      <c r="P14" s="55" t="s">
        <v>45</v>
      </c>
    </row>
    <row r="15" spans="7:16" x14ac:dyDescent="0.25">
      <c r="G15" t="str">
        <f>COUNTIF($O$14:$O15,O15)&amp;O15</f>
        <v>1177000</v>
      </c>
      <c r="H15" t="str">
        <f>COUNTIF($P$14:$P15,P15)&amp;P15</f>
        <v>11.18</v>
      </c>
      <c r="I15" s="40">
        <f>0+SUBTOTAL(9,O15)</f>
        <v>177000</v>
      </c>
      <c r="J15" s="43">
        <f>0+SUBTOTAL(9,P15)</f>
        <v>1.18</v>
      </c>
      <c r="K15" s="7" t="s">
        <v>69</v>
      </c>
      <c r="L15" s="4" t="s">
        <v>53</v>
      </c>
      <c r="M15" s="4" t="s">
        <v>51</v>
      </c>
      <c r="N15" s="45">
        <v>150000</v>
      </c>
      <c r="O15" s="45">
        <v>177000</v>
      </c>
      <c r="P15" s="46">
        <f t="shared" ref="P15:P50" si="0">O15/N15</f>
        <v>1.18</v>
      </c>
    </row>
    <row r="16" spans="7:16" x14ac:dyDescent="0.25">
      <c r="G16" t="str">
        <f>COUNTIF($O$14:$O16,O16)&amp;O16</f>
        <v>1291000</v>
      </c>
      <c r="H16" t="str">
        <f>COUNTIF($P$14:$P16,P16)&amp;P16</f>
        <v>11.164</v>
      </c>
      <c r="I16" s="40">
        <f t="shared" ref="I16:J50" si="1">0+SUBTOTAL(9,O16)</f>
        <v>291000</v>
      </c>
      <c r="J16" s="43">
        <f t="shared" si="1"/>
        <v>1.1639999999999999</v>
      </c>
      <c r="K16" s="7" t="s">
        <v>75</v>
      </c>
      <c r="L16" s="4" t="s">
        <v>58</v>
      </c>
      <c r="M16" s="4" t="s">
        <v>59</v>
      </c>
      <c r="N16" s="45">
        <v>250000</v>
      </c>
      <c r="O16" s="45">
        <v>291000</v>
      </c>
      <c r="P16" s="46">
        <f t="shared" si="0"/>
        <v>1.1639999999999999</v>
      </c>
    </row>
    <row r="17" spans="7:16" x14ac:dyDescent="0.25">
      <c r="G17" t="str">
        <f>COUNTIF($O$14:$O17,O17)&amp;O17</f>
        <v>2177000</v>
      </c>
      <c r="H17" t="str">
        <f>COUNTIF($P$14:$P17,P17)&amp;P17</f>
        <v>11.10625</v>
      </c>
      <c r="I17" s="40">
        <f t="shared" si="1"/>
        <v>177000</v>
      </c>
      <c r="J17" s="43">
        <f t="shared" si="1"/>
        <v>1.10625</v>
      </c>
      <c r="K17" s="7" t="s">
        <v>68</v>
      </c>
      <c r="L17" s="4" t="s">
        <v>58</v>
      </c>
      <c r="M17" s="4" t="s">
        <v>51</v>
      </c>
      <c r="N17" s="45">
        <v>160000</v>
      </c>
      <c r="O17" s="45">
        <v>177000</v>
      </c>
      <c r="P17" s="46">
        <f t="shared" si="0"/>
        <v>1.10625</v>
      </c>
    </row>
    <row r="18" spans="7:16" x14ac:dyDescent="0.25">
      <c r="G18" t="str">
        <f>COUNTIF($O$14:$O18,O18)&amp;O18</f>
        <v>1215000</v>
      </c>
      <c r="H18" t="str">
        <f>COUNTIF($P$14:$P18,P18)&amp;P18</f>
        <v>11.075</v>
      </c>
      <c r="I18" s="40">
        <f t="shared" si="1"/>
        <v>215000</v>
      </c>
      <c r="J18" s="43">
        <f t="shared" si="1"/>
        <v>1.075</v>
      </c>
      <c r="K18" s="7" t="s">
        <v>80</v>
      </c>
      <c r="L18" s="4" t="s">
        <v>58</v>
      </c>
      <c r="M18" s="4" t="s">
        <v>81</v>
      </c>
      <c r="N18" s="45">
        <v>200000</v>
      </c>
      <c r="O18" s="45">
        <v>215000</v>
      </c>
      <c r="P18" s="46">
        <f t="shared" si="0"/>
        <v>1.075</v>
      </c>
    </row>
    <row r="19" spans="7:16" x14ac:dyDescent="0.25">
      <c r="G19" t="str">
        <f>COUNTIF($O$14:$O19,O19)&amp;O19</f>
        <v>1100000</v>
      </c>
      <c r="H19" t="str">
        <f>COUNTIF($P$14:$P19,P19)&amp;P19</f>
        <v>10.666666666666667</v>
      </c>
      <c r="I19" s="40">
        <f t="shared" si="1"/>
        <v>100000</v>
      </c>
      <c r="J19" s="43">
        <f t="shared" si="1"/>
        <v>0.66666666666666663</v>
      </c>
      <c r="K19" s="7" t="s">
        <v>63</v>
      </c>
      <c r="L19" s="4" t="s">
        <v>58</v>
      </c>
      <c r="M19" s="4" t="s">
        <v>49</v>
      </c>
      <c r="N19" s="45">
        <v>150000</v>
      </c>
      <c r="O19" s="45">
        <v>100000</v>
      </c>
      <c r="P19" s="46">
        <f t="shared" si="0"/>
        <v>0.66666666666666663</v>
      </c>
    </row>
    <row r="20" spans="7:16" x14ac:dyDescent="0.25">
      <c r="G20" t="str">
        <f>COUNTIF($O$14:$O20,O20)&amp;O20</f>
        <v>1201000</v>
      </c>
      <c r="H20" t="str">
        <f>COUNTIF($P$14:$P20,P20)&amp;P20</f>
        <v>12.01</v>
      </c>
      <c r="I20" s="40">
        <f t="shared" si="1"/>
        <v>201000</v>
      </c>
      <c r="J20" s="43">
        <f t="shared" si="1"/>
        <v>2.0099999999999998</v>
      </c>
      <c r="K20" s="7" t="s">
        <v>66</v>
      </c>
      <c r="L20" s="4" t="s">
        <v>48</v>
      </c>
      <c r="M20" s="4" t="s">
        <v>49</v>
      </c>
      <c r="N20" s="45">
        <v>100000</v>
      </c>
      <c r="O20" s="45">
        <v>201000</v>
      </c>
      <c r="P20" s="46">
        <f t="shared" si="0"/>
        <v>2.0099999999999998</v>
      </c>
    </row>
    <row r="21" spans="7:16" x14ac:dyDescent="0.25">
      <c r="G21" t="str">
        <f>COUNTIF($O$14:$O23,O21)&amp;O21</f>
        <v>1134000</v>
      </c>
      <c r="H21" t="str">
        <f>COUNTIF($P$14:$P23,P21)&amp;P21</f>
        <v>11.34</v>
      </c>
      <c r="I21" s="40">
        <f t="shared" si="1"/>
        <v>134000</v>
      </c>
      <c r="J21" s="43">
        <f t="shared" si="1"/>
        <v>1.34</v>
      </c>
      <c r="K21" s="7" t="s">
        <v>78</v>
      </c>
      <c r="L21" s="4" t="s">
        <v>48</v>
      </c>
      <c r="M21" s="4" t="s">
        <v>59</v>
      </c>
      <c r="N21" s="45">
        <v>100000</v>
      </c>
      <c r="O21" s="45">
        <v>134000</v>
      </c>
      <c r="P21" s="46">
        <f t="shared" si="0"/>
        <v>1.34</v>
      </c>
    </row>
    <row r="22" spans="7:16" x14ac:dyDescent="0.25">
      <c r="G22" t="str">
        <f>COUNTIF($O$14:$O22,O22)&amp;O22</f>
        <v>1159600</v>
      </c>
      <c r="H22" t="str">
        <f>COUNTIF($P$14:$P22,P22)&amp;P22</f>
        <v>11.33</v>
      </c>
      <c r="I22" s="40">
        <f t="shared" si="1"/>
        <v>159600</v>
      </c>
      <c r="J22" s="43">
        <f t="shared" si="1"/>
        <v>1.33</v>
      </c>
      <c r="K22" s="7" t="s">
        <v>64</v>
      </c>
      <c r="L22" s="4" t="s">
        <v>53</v>
      </c>
      <c r="M22" s="4" t="s">
        <v>49</v>
      </c>
      <c r="N22" s="45">
        <v>120000</v>
      </c>
      <c r="O22" s="45">
        <v>159600</v>
      </c>
      <c r="P22" s="46">
        <f t="shared" si="0"/>
        <v>1.33</v>
      </c>
    </row>
    <row r="23" spans="7:16" x14ac:dyDescent="0.25">
      <c r="G23" t="str">
        <f>COUNTIF($O$14:$O23,O23)&amp;O23</f>
        <v>1150000</v>
      </c>
      <c r="H23" t="str">
        <f>COUNTIF($P$14:$P23,P23)&amp;P23</f>
        <v>11.25</v>
      </c>
      <c r="I23" s="40">
        <f t="shared" si="1"/>
        <v>150000</v>
      </c>
      <c r="J23" s="43">
        <f t="shared" si="1"/>
        <v>1.25</v>
      </c>
      <c r="K23" s="7" t="s">
        <v>77</v>
      </c>
      <c r="L23" s="4" t="s">
        <v>53</v>
      </c>
      <c r="M23" s="4" t="s">
        <v>59</v>
      </c>
      <c r="N23" s="45">
        <v>120000</v>
      </c>
      <c r="O23" s="45">
        <v>150000</v>
      </c>
      <c r="P23" s="46">
        <f t="shared" si="0"/>
        <v>1.25</v>
      </c>
    </row>
    <row r="24" spans="7:16" x14ac:dyDescent="0.25">
      <c r="G24" t="str">
        <f>COUNTIF($O$14:$O24,O24)&amp;O24</f>
        <v>2150000</v>
      </c>
      <c r="H24" t="str">
        <f>COUNTIF($P$14:$P24,P24)&amp;P24</f>
        <v>21.25</v>
      </c>
      <c r="I24" s="40">
        <f t="shared" si="1"/>
        <v>150000</v>
      </c>
      <c r="J24" s="43">
        <f t="shared" si="1"/>
        <v>1.25</v>
      </c>
      <c r="K24" s="7" t="s">
        <v>83</v>
      </c>
      <c r="L24" s="4" t="s">
        <v>48</v>
      </c>
      <c r="M24" s="4" t="s">
        <v>81</v>
      </c>
      <c r="N24" s="45">
        <v>120000</v>
      </c>
      <c r="O24" s="45">
        <v>150000</v>
      </c>
      <c r="P24" s="46">
        <f t="shared" si="0"/>
        <v>1.25</v>
      </c>
    </row>
    <row r="25" spans="7:16" x14ac:dyDescent="0.25">
      <c r="G25" t="str">
        <f>COUNTIF($O$14:$O25,O25)&amp;O25</f>
        <v>1122000</v>
      </c>
      <c r="H25" t="str">
        <f>COUNTIF($P$14:$P25,P25)&amp;P25</f>
        <v>11.22</v>
      </c>
      <c r="I25" s="40">
        <f t="shared" si="1"/>
        <v>122000</v>
      </c>
      <c r="J25" s="43">
        <f t="shared" si="1"/>
        <v>1.22</v>
      </c>
      <c r="K25" s="7" t="s">
        <v>60</v>
      </c>
      <c r="L25" s="4" t="s">
        <v>53</v>
      </c>
      <c r="M25" s="4" t="s">
        <v>49</v>
      </c>
      <c r="N25" s="45">
        <v>100000</v>
      </c>
      <c r="O25" s="45">
        <v>122000</v>
      </c>
      <c r="P25" s="46">
        <f t="shared" si="0"/>
        <v>1.22</v>
      </c>
    </row>
    <row r="26" spans="7:16" x14ac:dyDescent="0.25">
      <c r="G26" t="str">
        <f>COUNTIF($O$14:$O26,O26)&amp;O26</f>
        <v>1139000</v>
      </c>
      <c r="H26" t="str">
        <f>COUNTIF($P$14:$P26,P26)&amp;P26</f>
        <v>11.15833333333333</v>
      </c>
      <c r="I26" s="40">
        <f t="shared" si="1"/>
        <v>139000</v>
      </c>
      <c r="J26" s="43">
        <f t="shared" si="1"/>
        <v>1.1583333333333334</v>
      </c>
      <c r="K26" s="7" t="s">
        <v>55</v>
      </c>
      <c r="L26" s="4" t="s">
        <v>53</v>
      </c>
      <c r="M26" s="4" t="s">
        <v>49</v>
      </c>
      <c r="N26" s="45">
        <v>120000</v>
      </c>
      <c r="O26" s="45">
        <v>139000</v>
      </c>
      <c r="P26" s="46">
        <f t="shared" si="0"/>
        <v>1.1583333333333334</v>
      </c>
    </row>
    <row r="27" spans="7:16" x14ac:dyDescent="0.25">
      <c r="G27" t="str">
        <f>COUNTIF($O$14:$O27,O27)&amp;O27</f>
        <v>1138000</v>
      </c>
      <c r="H27" t="str">
        <f>COUNTIF($P$14:$P27,P27)&amp;P27</f>
        <v>11.15</v>
      </c>
      <c r="I27" s="40">
        <f t="shared" si="1"/>
        <v>138000</v>
      </c>
      <c r="J27" s="43">
        <f t="shared" si="1"/>
        <v>1.1499999999999999</v>
      </c>
      <c r="K27" s="7" t="s">
        <v>47</v>
      </c>
      <c r="L27" s="4" t="s">
        <v>48</v>
      </c>
      <c r="M27" s="4" t="s">
        <v>49</v>
      </c>
      <c r="N27" s="45">
        <v>120000</v>
      </c>
      <c r="O27" s="45">
        <v>138000</v>
      </c>
      <c r="P27" s="46">
        <f t="shared" si="0"/>
        <v>1.1499999999999999</v>
      </c>
    </row>
    <row r="28" spans="7:16" x14ac:dyDescent="0.25">
      <c r="G28" t="str">
        <f>COUNTIF($O$14:$O28,O28)&amp;O28</f>
        <v>1114000</v>
      </c>
      <c r="H28" t="str">
        <f>COUNTIF($P$14:$P28,P28)&amp;P28</f>
        <v>11.14</v>
      </c>
      <c r="I28" s="40">
        <f t="shared" si="1"/>
        <v>114000</v>
      </c>
      <c r="J28" s="43">
        <f t="shared" si="1"/>
        <v>1.1399999999999999</v>
      </c>
      <c r="K28" s="7" t="s">
        <v>67</v>
      </c>
      <c r="L28" s="4" t="s">
        <v>48</v>
      </c>
      <c r="M28" s="4" t="s">
        <v>49</v>
      </c>
      <c r="N28" s="45">
        <v>100000</v>
      </c>
      <c r="O28" s="45">
        <v>114000</v>
      </c>
      <c r="P28" s="46">
        <f t="shared" si="0"/>
        <v>1.1399999999999999</v>
      </c>
    </row>
    <row r="29" spans="7:16" x14ac:dyDescent="0.25">
      <c r="G29" t="str">
        <f>COUNTIF($O$14:$O29,O29)&amp;O29</f>
        <v>1124000</v>
      </c>
      <c r="H29" t="str">
        <f>COUNTIF($P$14:$P29,P29)&amp;P29</f>
        <v>11.12727272727273</v>
      </c>
      <c r="I29" s="40">
        <f t="shared" si="1"/>
        <v>124000</v>
      </c>
      <c r="J29" s="43">
        <f t="shared" si="1"/>
        <v>1.1272727272727272</v>
      </c>
      <c r="K29" s="7" t="s">
        <v>76</v>
      </c>
      <c r="L29" s="4" t="s">
        <v>53</v>
      </c>
      <c r="M29" s="4" t="s">
        <v>59</v>
      </c>
      <c r="N29" s="45">
        <v>110000</v>
      </c>
      <c r="O29" s="45">
        <v>124000</v>
      </c>
      <c r="P29" s="46">
        <f t="shared" si="0"/>
        <v>1.1272727272727272</v>
      </c>
    </row>
    <row r="30" spans="7:16" x14ac:dyDescent="0.25">
      <c r="G30" t="str">
        <f>COUNTIF($O$14:$O30,O30)&amp;O30</f>
        <v>1110000</v>
      </c>
      <c r="H30" t="str">
        <f>COUNTIF($P$14:$P30,P30)&amp;P30</f>
        <v>11.1</v>
      </c>
      <c r="I30" s="40">
        <f t="shared" si="1"/>
        <v>110000</v>
      </c>
      <c r="J30" s="43">
        <f t="shared" si="1"/>
        <v>1.1000000000000001</v>
      </c>
      <c r="K30" s="7" t="s">
        <v>72</v>
      </c>
      <c r="L30" s="4" t="s">
        <v>48</v>
      </c>
      <c r="M30" s="4" t="s">
        <v>51</v>
      </c>
      <c r="N30" s="45">
        <v>100000</v>
      </c>
      <c r="O30" s="45">
        <v>110000</v>
      </c>
      <c r="P30" s="46">
        <f t="shared" si="0"/>
        <v>1.1000000000000001</v>
      </c>
    </row>
    <row r="31" spans="7:16" x14ac:dyDescent="0.25">
      <c r="G31" t="str">
        <f>COUNTIF($O$14:$O31,O31)&amp;O31</f>
        <v>1137000</v>
      </c>
      <c r="H31" t="str">
        <f>COUNTIF($P$14:$P31,P31)&amp;P31</f>
        <v>11.096</v>
      </c>
      <c r="I31" s="40">
        <f t="shared" si="1"/>
        <v>137000</v>
      </c>
      <c r="J31" s="43">
        <f t="shared" si="1"/>
        <v>1.0960000000000001</v>
      </c>
      <c r="K31" s="7" t="s">
        <v>57</v>
      </c>
      <c r="L31" s="4" t="s">
        <v>58</v>
      </c>
      <c r="M31" s="4" t="s">
        <v>59</v>
      </c>
      <c r="N31" s="45">
        <v>125000</v>
      </c>
      <c r="O31" s="45">
        <v>137000</v>
      </c>
      <c r="P31" s="46">
        <f t="shared" si="0"/>
        <v>1.0960000000000001</v>
      </c>
    </row>
    <row r="32" spans="7:16" x14ac:dyDescent="0.25">
      <c r="G32" t="str">
        <f>COUNTIF($O$14:$O32,O32)&amp;O32</f>
        <v>1142000</v>
      </c>
      <c r="H32" t="str">
        <f>COUNTIF($P$14:$P32,P32)&amp;P32</f>
        <v>11.01428571428571</v>
      </c>
      <c r="I32" s="40">
        <f t="shared" si="1"/>
        <v>142000</v>
      </c>
      <c r="J32" s="43">
        <f t="shared" si="1"/>
        <v>1.0142857142857142</v>
      </c>
      <c r="K32" s="7" t="s">
        <v>89</v>
      </c>
      <c r="L32" s="4" t="s">
        <v>48</v>
      </c>
      <c r="M32" s="4" t="s">
        <v>49</v>
      </c>
      <c r="N32" s="45">
        <v>140000</v>
      </c>
      <c r="O32" s="45">
        <v>142000</v>
      </c>
      <c r="P32" s="46">
        <f t="shared" si="0"/>
        <v>1.0142857142857142</v>
      </c>
    </row>
    <row r="33" spans="7:16" x14ac:dyDescent="0.25">
      <c r="G33" t="str">
        <f>COUNTIF($O$14:$O33,O33)&amp;O33</f>
        <v>1101000</v>
      </c>
      <c r="H33" t="str">
        <f>COUNTIF($P$14:$P33,P33)&amp;P33</f>
        <v>11.01</v>
      </c>
      <c r="I33" s="40">
        <f t="shared" si="1"/>
        <v>101000</v>
      </c>
      <c r="J33" s="43">
        <f t="shared" si="1"/>
        <v>1.01</v>
      </c>
      <c r="K33" s="7" t="s">
        <v>50</v>
      </c>
      <c r="L33" s="4" t="s">
        <v>48</v>
      </c>
      <c r="M33" s="4" t="s">
        <v>51</v>
      </c>
      <c r="N33" s="45">
        <v>100000</v>
      </c>
      <c r="O33" s="45">
        <v>101000</v>
      </c>
      <c r="P33" s="46">
        <f t="shared" si="0"/>
        <v>1.01</v>
      </c>
    </row>
    <row r="34" spans="7:16" x14ac:dyDescent="0.25">
      <c r="G34" t="str">
        <f>COUNTIF($O$14:$O34,O34)&amp;O34</f>
        <v>198000</v>
      </c>
      <c r="H34" t="str">
        <f>COUNTIF($P$14:$P34,P34)&amp;P34</f>
        <v>10.98</v>
      </c>
      <c r="I34" s="40">
        <f t="shared" si="1"/>
        <v>98000</v>
      </c>
      <c r="J34" s="43">
        <f t="shared" si="1"/>
        <v>0.98</v>
      </c>
      <c r="K34" s="7" t="s">
        <v>65</v>
      </c>
      <c r="L34" s="4" t="s">
        <v>48</v>
      </c>
      <c r="M34" s="4" t="s">
        <v>49</v>
      </c>
      <c r="N34" s="45">
        <v>100000</v>
      </c>
      <c r="O34" s="45">
        <v>98000</v>
      </c>
      <c r="P34" s="46">
        <f t="shared" si="0"/>
        <v>0.98</v>
      </c>
    </row>
    <row r="35" spans="7:16" x14ac:dyDescent="0.25">
      <c r="G35" t="str">
        <f>COUNTIF($O$14:$O35,O35)&amp;O35</f>
        <v>185000</v>
      </c>
      <c r="H35" t="str">
        <f>COUNTIF($P$14:$P35,P35)&amp;P35</f>
        <v>10.85</v>
      </c>
      <c r="I35" s="40">
        <f t="shared" si="1"/>
        <v>85000</v>
      </c>
      <c r="J35" s="43">
        <f t="shared" si="1"/>
        <v>0.85</v>
      </c>
      <c r="K35" s="7" t="s">
        <v>79</v>
      </c>
      <c r="L35" s="4" t="s">
        <v>48</v>
      </c>
      <c r="M35" s="4" t="s">
        <v>59</v>
      </c>
      <c r="N35" s="45">
        <v>100000</v>
      </c>
      <c r="O35" s="45">
        <v>85000</v>
      </c>
      <c r="P35" s="46">
        <f t="shared" si="0"/>
        <v>0.85</v>
      </c>
    </row>
    <row r="36" spans="7:16" x14ac:dyDescent="0.25">
      <c r="G36" t="str">
        <f>COUNTIF($O$14:$O36,O36)&amp;O36</f>
        <v>195000</v>
      </c>
      <c r="H36" t="str">
        <f>COUNTIF($P$14:$P36,P36)&amp;P36</f>
        <v>10.791666666666667</v>
      </c>
      <c r="I36" s="40">
        <f t="shared" si="1"/>
        <v>95000</v>
      </c>
      <c r="J36" s="43">
        <f t="shared" si="1"/>
        <v>0.79166666666666663</v>
      </c>
      <c r="K36" s="7" t="s">
        <v>86</v>
      </c>
      <c r="L36" s="4" t="s">
        <v>48</v>
      </c>
      <c r="M36" s="4" t="s">
        <v>54</v>
      </c>
      <c r="N36" s="45">
        <v>120000</v>
      </c>
      <c r="O36" s="45">
        <v>95000</v>
      </c>
      <c r="P36" s="46">
        <f t="shared" si="0"/>
        <v>0.79166666666666663</v>
      </c>
    </row>
    <row r="37" spans="7:16" x14ac:dyDescent="0.25">
      <c r="G37" t="str">
        <f>COUNTIF($O$14:$O37,O37)&amp;O37</f>
        <v>1109000</v>
      </c>
      <c r="H37" t="str">
        <f>COUNTIF($P$14:$P37,P37)&amp;P37</f>
        <v>10.778571428571429</v>
      </c>
      <c r="I37" s="40">
        <f t="shared" si="1"/>
        <v>109000</v>
      </c>
      <c r="J37" s="43">
        <f t="shared" si="1"/>
        <v>0.77857142857142858</v>
      </c>
      <c r="K37" s="7" t="s">
        <v>62</v>
      </c>
      <c r="L37" s="4" t="s">
        <v>58</v>
      </c>
      <c r="M37" s="4" t="s">
        <v>49</v>
      </c>
      <c r="N37" s="45">
        <v>140000</v>
      </c>
      <c r="O37" s="45">
        <v>109000</v>
      </c>
      <c r="P37" s="46">
        <f t="shared" si="0"/>
        <v>0.77857142857142858</v>
      </c>
    </row>
    <row r="38" spans="7:16" x14ac:dyDescent="0.25">
      <c r="G38" t="str">
        <f>COUNTIF($O$14:$O38,O38)&amp;O38</f>
        <v>1121000</v>
      </c>
      <c r="H38" t="str">
        <f>COUNTIF($P$14:$P38,P38)&amp;P38</f>
        <v>10.75625</v>
      </c>
      <c r="I38" s="40">
        <f t="shared" si="1"/>
        <v>121000</v>
      </c>
      <c r="J38" s="43">
        <f t="shared" si="1"/>
        <v>0.75624999999999998</v>
      </c>
      <c r="K38" s="7" t="s">
        <v>82</v>
      </c>
      <c r="L38" s="4" t="s">
        <v>53</v>
      </c>
      <c r="M38" s="4" t="s">
        <v>81</v>
      </c>
      <c r="N38" s="45">
        <v>160000</v>
      </c>
      <c r="O38" s="45">
        <v>121000</v>
      </c>
      <c r="P38" s="46">
        <f t="shared" si="0"/>
        <v>0.75624999999999998</v>
      </c>
    </row>
    <row r="39" spans="7:16" x14ac:dyDescent="0.25">
      <c r="G39" t="str">
        <f>COUNTIF($O$14:$O39,O39)&amp;O39</f>
        <v>189000</v>
      </c>
      <c r="H39" t="str">
        <f>COUNTIF($P$14:$P39,P39)&amp;P39</f>
        <v>10.712</v>
      </c>
      <c r="I39" s="40">
        <f t="shared" si="1"/>
        <v>89000</v>
      </c>
      <c r="J39" s="43">
        <f t="shared" si="1"/>
        <v>0.71199999999999997</v>
      </c>
      <c r="K39" s="7" t="s">
        <v>52</v>
      </c>
      <c r="L39" s="4" t="s">
        <v>53</v>
      </c>
      <c r="M39" s="4" t="s">
        <v>54</v>
      </c>
      <c r="N39" s="45">
        <v>125000</v>
      </c>
      <c r="O39" s="45">
        <v>89000</v>
      </c>
      <c r="P39" s="46">
        <f t="shared" si="0"/>
        <v>0.71199999999999997</v>
      </c>
    </row>
    <row r="40" spans="7:16" x14ac:dyDescent="0.25">
      <c r="G40" t="str">
        <f>COUNTIF($O$14:$O40,O40)&amp;O40</f>
        <v>136000</v>
      </c>
      <c r="H40" t="str">
        <f>COUNTIF($P$14:$P40,P40)&amp;P40</f>
        <v>10.327272727272727</v>
      </c>
      <c r="I40" s="40">
        <f t="shared" si="1"/>
        <v>36000</v>
      </c>
      <c r="J40" s="43">
        <f t="shared" si="1"/>
        <v>0.32727272727272727</v>
      </c>
      <c r="K40" s="7" t="s">
        <v>74</v>
      </c>
      <c r="L40" s="4" t="s">
        <v>48</v>
      </c>
      <c r="M40" s="4" t="s">
        <v>51</v>
      </c>
      <c r="N40" s="45">
        <v>110000</v>
      </c>
      <c r="O40" s="45">
        <v>36000</v>
      </c>
      <c r="P40" s="46">
        <f t="shared" si="0"/>
        <v>0.32727272727272727</v>
      </c>
    </row>
    <row r="41" spans="7:16" x14ac:dyDescent="0.25">
      <c r="G41" t="str">
        <f>COUNTIF($O$14:$O41,O41)&amp;O41</f>
        <v>192000</v>
      </c>
      <c r="H41" t="str">
        <f>COUNTIF($P$14:$P41,P41)&amp;P41</f>
        <v>21.15</v>
      </c>
      <c r="I41" s="40">
        <f t="shared" si="1"/>
        <v>92000</v>
      </c>
      <c r="J41" s="43">
        <f t="shared" si="1"/>
        <v>1.1499999999999999</v>
      </c>
      <c r="K41" s="7" t="s">
        <v>56</v>
      </c>
      <c r="L41" s="4" t="s">
        <v>48</v>
      </c>
      <c r="M41" s="4" t="s">
        <v>49</v>
      </c>
      <c r="N41" s="45">
        <v>80000</v>
      </c>
      <c r="O41" s="45">
        <v>92000</v>
      </c>
      <c r="P41" s="46">
        <f t="shared" si="0"/>
        <v>1.1499999999999999</v>
      </c>
    </row>
    <row r="42" spans="7:16" x14ac:dyDescent="0.25">
      <c r="G42" t="str">
        <f>COUNTIF($O$14:$O42,O42)&amp;O42</f>
        <v>292000</v>
      </c>
      <c r="H42" t="str">
        <f>COUNTIF($P$14:$P42,P42)&amp;P42</f>
        <v>31.15</v>
      </c>
      <c r="I42" s="40">
        <f t="shared" si="1"/>
        <v>92000</v>
      </c>
      <c r="J42" s="43">
        <f t="shared" si="1"/>
        <v>1.1499999999999999</v>
      </c>
      <c r="K42" s="7" t="s">
        <v>71</v>
      </c>
      <c r="L42" s="4" t="s">
        <v>48</v>
      </c>
      <c r="M42" s="4" t="s">
        <v>51</v>
      </c>
      <c r="N42" s="45">
        <v>80000</v>
      </c>
      <c r="O42" s="45">
        <v>92000</v>
      </c>
      <c r="P42" s="46">
        <f t="shared" si="0"/>
        <v>1.1499999999999999</v>
      </c>
    </row>
    <row r="43" spans="7:16" x14ac:dyDescent="0.25">
      <c r="G43" t="str">
        <f>COUNTIF($O$14:$O43,O43)&amp;O43</f>
        <v>176000</v>
      </c>
      <c r="H43" t="str">
        <f>COUNTIF($P$14:$P43,P43)&amp;P43</f>
        <v>10.95</v>
      </c>
      <c r="I43" s="40">
        <f t="shared" si="1"/>
        <v>76000</v>
      </c>
      <c r="J43" s="43">
        <f t="shared" si="1"/>
        <v>0.95</v>
      </c>
      <c r="K43" s="7" t="s">
        <v>70</v>
      </c>
      <c r="L43" s="4" t="s">
        <v>48</v>
      </c>
      <c r="M43" s="4" t="s">
        <v>51</v>
      </c>
      <c r="N43" s="45">
        <v>80000</v>
      </c>
      <c r="O43" s="45">
        <v>76000</v>
      </c>
      <c r="P43" s="46">
        <f t="shared" si="0"/>
        <v>0.95</v>
      </c>
    </row>
    <row r="44" spans="7:16" x14ac:dyDescent="0.25">
      <c r="G44" t="str">
        <f>COUNTIF($O$14:$O44,O44)&amp;O44</f>
        <v>1130000</v>
      </c>
      <c r="H44" t="str">
        <f>COUNTIF($P$14:$P44,P44)&amp;P44</f>
        <v>11.08333333333333</v>
      </c>
      <c r="I44" s="40">
        <f t="shared" si="1"/>
        <v>130000</v>
      </c>
      <c r="J44" s="43">
        <f t="shared" si="1"/>
        <v>1.0833333333333333</v>
      </c>
      <c r="K44" s="7" t="s">
        <v>61</v>
      </c>
      <c r="L44" s="4" t="s">
        <v>58</v>
      </c>
      <c r="M44" s="4" t="s">
        <v>49</v>
      </c>
      <c r="N44" s="45">
        <v>120000</v>
      </c>
      <c r="O44" s="45">
        <v>130000</v>
      </c>
      <c r="P44" s="46">
        <f t="shared" si="0"/>
        <v>1.0833333333333333</v>
      </c>
    </row>
    <row r="45" spans="7:16" x14ac:dyDescent="0.25">
      <c r="G45" t="str">
        <f>COUNTIF($O$14:$O45,O45)&amp;O45</f>
        <v>147000</v>
      </c>
      <c r="H45" t="str">
        <f>COUNTIF($P$14:$P45,P45)&amp;P45</f>
        <v>10.5875</v>
      </c>
      <c r="I45" s="40">
        <f t="shared" si="1"/>
        <v>47000</v>
      </c>
      <c r="J45" s="43">
        <f t="shared" si="1"/>
        <v>0.58750000000000002</v>
      </c>
      <c r="K45" s="7" t="s">
        <v>84</v>
      </c>
      <c r="L45" s="4" t="s">
        <v>48</v>
      </c>
      <c r="M45" s="4" t="s">
        <v>81</v>
      </c>
      <c r="N45" s="45">
        <v>80000</v>
      </c>
      <c r="O45" s="45">
        <v>47000</v>
      </c>
      <c r="P45" s="46">
        <f t="shared" si="0"/>
        <v>0.58750000000000002</v>
      </c>
    </row>
    <row r="46" spans="7:16" x14ac:dyDescent="0.25">
      <c r="G46" t="str">
        <f>COUNTIF($O$14:$O46,O46)&amp;O46</f>
        <v>150000</v>
      </c>
      <c r="H46" t="str">
        <f>COUNTIF($P$14:$P46,P46)&amp;P46</f>
        <v>10.625</v>
      </c>
      <c r="I46" s="40">
        <f t="shared" si="1"/>
        <v>50000</v>
      </c>
      <c r="J46" s="43">
        <f t="shared" si="1"/>
        <v>0.625</v>
      </c>
      <c r="K46" s="7" t="s">
        <v>87</v>
      </c>
      <c r="L46" s="4" t="s">
        <v>48</v>
      </c>
      <c r="M46" s="4" t="s">
        <v>54</v>
      </c>
      <c r="N46" s="45">
        <v>80000</v>
      </c>
      <c r="O46" s="45">
        <v>50000</v>
      </c>
      <c r="P46" s="46">
        <f t="shared" si="0"/>
        <v>0.625</v>
      </c>
    </row>
    <row r="47" spans="7:16" x14ac:dyDescent="0.25">
      <c r="G47" t="str">
        <f>COUNTIF($O$14:$O47,O47)&amp;O47</f>
        <v>1100500</v>
      </c>
      <c r="H47" t="str">
        <f>COUNTIF($P$14:$P47,P47)&amp;P47</f>
        <v>21.34</v>
      </c>
      <c r="I47" s="40">
        <f t="shared" si="1"/>
        <v>100500</v>
      </c>
      <c r="J47" s="43">
        <f t="shared" si="1"/>
        <v>1.34</v>
      </c>
      <c r="K47" s="7" t="s">
        <v>85</v>
      </c>
      <c r="L47" s="4" t="s">
        <v>48</v>
      </c>
      <c r="M47" s="4" t="s">
        <v>81</v>
      </c>
      <c r="N47" s="45">
        <v>75000</v>
      </c>
      <c r="O47" s="45">
        <v>100500</v>
      </c>
      <c r="P47" s="46">
        <f t="shared" si="0"/>
        <v>1.34</v>
      </c>
    </row>
    <row r="48" spans="7:16" x14ac:dyDescent="0.25">
      <c r="G48" t="str">
        <f>COUNTIF($O$14:$O48,O48)&amp;O48</f>
        <v>2100000</v>
      </c>
      <c r="H48" t="str">
        <f>COUNTIF($P$14:$P48,P48)&amp;P48</f>
        <v>31.25</v>
      </c>
      <c r="I48" s="40">
        <f t="shared" si="1"/>
        <v>100000</v>
      </c>
      <c r="J48" s="43">
        <f t="shared" si="1"/>
        <v>1.25</v>
      </c>
      <c r="K48" s="7" t="s">
        <v>73</v>
      </c>
      <c r="L48" s="4" t="s">
        <v>53</v>
      </c>
      <c r="M48" s="4" t="s">
        <v>51</v>
      </c>
      <c r="N48" s="45">
        <v>80000</v>
      </c>
      <c r="O48" s="45">
        <v>100000</v>
      </c>
      <c r="P48" s="46">
        <f t="shared" si="0"/>
        <v>1.25</v>
      </c>
    </row>
    <row r="49" spans="7:16" x14ac:dyDescent="0.25">
      <c r="G49" t="str">
        <f>COUNTIF($O$14:$O49,O49)&amp;O49</f>
        <v>142000</v>
      </c>
      <c r="H49" t="str">
        <f>COUNTIF($P$14:$P49,P49)&amp;P49</f>
        <v>10.7</v>
      </c>
      <c r="I49" s="40">
        <f t="shared" si="1"/>
        <v>42000</v>
      </c>
      <c r="J49" s="43">
        <f t="shared" si="1"/>
        <v>0.7</v>
      </c>
      <c r="K49" s="7" t="s">
        <v>88</v>
      </c>
      <c r="L49" s="4" t="s">
        <v>48</v>
      </c>
      <c r="M49" s="4" t="s">
        <v>54</v>
      </c>
      <c r="N49" s="45">
        <v>60000</v>
      </c>
      <c r="O49" s="45">
        <v>42000</v>
      </c>
      <c r="P49" s="46">
        <f t="shared" si="0"/>
        <v>0.7</v>
      </c>
    </row>
    <row r="50" spans="7:16" x14ac:dyDescent="0.25">
      <c r="G50" t="str">
        <f>COUNTIF($O$14:$O50,O50)&amp;O50</f>
        <v>140000</v>
      </c>
      <c r="H50" t="str">
        <f>COUNTIF($P$14:$P50,P50)&amp;P50</f>
        <v>10.5</v>
      </c>
      <c r="I50" s="40">
        <f t="shared" si="1"/>
        <v>40000</v>
      </c>
      <c r="J50" s="43">
        <f t="shared" si="1"/>
        <v>0.5</v>
      </c>
      <c r="K50" s="7" t="s">
        <v>90</v>
      </c>
      <c r="L50" s="4" t="s">
        <v>48</v>
      </c>
      <c r="M50" s="4" t="s">
        <v>49</v>
      </c>
      <c r="N50" s="45">
        <v>80000</v>
      </c>
      <c r="O50" s="45">
        <v>40000</v>
      </c>
      <c r="P50" s="46">
        <f t="shared" si="0"/>
        <v>0.5</v>
      </c>
    </row>
  </sheetData>
  <sheetProtection autoFilter="0"/>
  <pageMargins left="0.23622047244094491" right="0.23622047244094491" top="0.43307086614173229" bottom="0.43307086614173229" header="0.23622047244094491" footer="0.23622047244094491"/>
  <pageSetup paperSize="9" scale="80" orientation="landscape" r:id="rId1"/>
  <headerFooter alignWithMargins="0">
    <oddFooter>&amp;L&amp;8&amp;D &amp;T&amp;C&amp;8&amp;Z&amp;F&amp;R&amp;8&amp;P of &amp;N</oddFooter>
  </headerFooter>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9A00"/>
  </sheetPr>
  <dimension ref="G7:P50"/>
  <sheetViews>
    <sheetView topLeftCell="K11" zoomScaleNormal="100" workbookViewId="0">
      <pane xSplit="3" ySplit="4" topLeftCell="N15" activePane="bottomRight" state="frozen"/>
      <selection activeCell="K11" sqref="K11"/>
      <selection pane="topRight" activeCell="N11" sqref="N11"/>
      <selection pane="bottomLeft" activeCell="K15" sqref="K15"/>
      <selection pane="bottomRight" activeCell="P18" sqref="P18"/>
    </sheetView>
  </sheetViews>
  <sheetFormatPr defaultRowHeight="10.3" x14ac:dyDescent="0.25"/>
  <cols>
    <col min="1" max="1" width="50.81640625" customWidth="1"/>
    <col min="8" max="8" width="7.6328125" customWidth="1"/>
    <col min="9" max="9" width="9.6328125" style="40" customWidth="1"/>
    <col min="10" max="10" width="7.81640625" style="43" customWidth="1"/>
    <col min="11" max="11" width="8.6328125" customWidth="1"/>
    <col min="12" max="12" width="12.36328125" bestFit="1" customWidth="1"/>
    <col min="13" max="13" width="11.453125" bestFit="1" customWidth="1"/>
    <col min="14" max="15" width="8" customWidth="1"/>
    <col min="16" max="16" width="7.81640625" customWidth="1"/>
  </cols>
  <sheetData>
    <row r="7" spans="7:16" x14ac:dyDescent="0.25">
      <c r="G7" s="37" t="s">
        <v>46</v>
      </c>
      <c r="H7" s="37"/>
      <c r="I7" s="39"/>
      <c r="J7" s="44"/>
      <c r="K7" s="38"/>
      <c r="L7" s="38"/>
      <c r="M7" s="38"/>
      <c r="N7" s="38"/>
      <c r="O7" s="38"/>
      <c r="P7" s="37" t="s">
        <v>46</v>
      </c>
    </row>
    <row r="8" spans="7:16" x14ac:dyDescent="0.25">
      <c r="G8" t="str">
        <f>COUNTIF($O8:$O$14,O8)&amp;O8</f>
        <v>0</v>
      </c>
      <c r="H8" t="e">
        <f>COUNTIF($P8:$P$14,P8)&amp;P8</f>
        <v>#DIV/0!</v>
      </c>
      <c r="I8" s="40">
        <f>0+SUBTOTAL(9,O8)</f>
        <v>0</v>
      </c>
      <c r="J8" s="43" t="e">
        <f>0+SUBTOTAL(9,P8)</f>
        <v>#DIV/0!</v>
      </c>
      <c r="K8" s="38"/>
      <c r="L8" s="38"/>
      <c r="M8" s="38"/>
      <c r="N8" s="38"/>
      <c r="O8" s="38"/>
      <c r="P8" s="43" t="e">
        <f>O8/N8</f>
        <v>#DIV/0!</v>
      </c>
    </row>
    <row r="10" spans="7:16" ht="10.75" thickBot="1" x14ac:dyDescent="0.3">
      <c r="K10" t="s">
        <v>41</v>
      </c>
      <c r="L10" t="s">
        <v>42</v>
      </c>
      <c r="M10" t="s">
        <v>43</v>
      </c>
      <c r="N10" t="s">
        <v>44</v>
      </c>
      <c r="O10" t="s">
        <v>39</v>
      </c>
      <c r="P10" t="s">
        <v>94</v>
      </c>
    </row>
    <row r="11" spans="7:16" ht="15.45" x14ac:dyDescent="0.25">
      <c r="G11" s="31"/>
      <c r="H11" s="20"/>
      <c r="I11" s="41"/>
      <c r="J11" s="51"/>
      <c r="K11" s="48" t="s">
        <v>35</v>
      </c>
      <c r="L11" s="20"/>
      <c r="M11" s="20"/>
      <c r="N11" s="20"/>
      <c r="O11" s="20"/>
      <c r="P11" s="21"/>
    </row>
    <row r="12" spans="7:16" ht="15.45" x14ac:dyDescent="0.25">
      <c r="G12" s="32"/>
      <c r="H12" s="23"/>
      <c r="I12" s="42"/>
      <c r="J12" s="52"/>
      <c r="K12" s="22"/>
      <c r="L12" s="23"/>
      <c r="M12" s="23"/>
      <c r="N12" s="23"/>
      <c r="O12" s="23"/>
      <c r="P12" s="24"/>
    </row>
    <row r="13" spans="7:16" ht="12.45" x14ac:dyDescent="0.25">
      <c r="G13" s="33" t="s">
        <v>36</v>
      </c>
      <c r="H13" s="34"/>
      <c r="I13" s="47"/>
      <c r="J13" s="53"/>
      <c r="K13" s="49" t="str">
        <f>kPeriod</f>
        <v>2024 Q4</v>
      </c>
      <c r="L13" s="23"/>
      <c r="M13" s="23"/>
      <c r="N13" s="23"/>
      <c r="O13" s="23"/>
      <c r="P13" s="24"/>
    </row>
    <row r="14" spans="7:16" ht="21" thickBot="1" x14ac:dyDescent="0.3">
      <c r="G14" s="35" t="s">
        <v>37</v>
      </c>
      <c r="H14" s="36" t="s">
        <v>38</v>
      </c>
      <c r="I14" s="36" t="s">
        <v>91</v>
      </c>
      <c r="J14" s="36" t="s">
        <v>40</v>
      </c>
      <c r="K14" s="54" t="s">
        <v>41</v>
      </c>
      <c r="L14" s="50" t="s">
        <v>42</v>
      </c>
      <c r="M14" s="50" t="s">
        <v>43</v>
      </c>
      <c r="N14" s="50" t="s">
        <v>95</v>
      </c>
      <c r="O14" s="50" t="s">
        <v>39</v>
      </c>
      <c r="P14" s="55" t="s">
        <v>45</v>
      </c>
    </row>
    <row r="15" spans="7:16" x14ac:dyDescent="0.25">
      <c r="G15" t="str">
        <f>COUNTIF($O$14:$O15,O15)&amp;O15</f>
        <v>1177000</v>
      </c>
      <c r="H15" t="str">
        <f>COUNTIF($P$14:$P15,P15)&amp;P15</f>
        <v>11.18</v>
      </c>
      <c r="I15" s="40">
        <f>0+SUBTOTAL(9,O15)</f>
        <v>177000</v>
      </c>
      <c r="J15" s="43">
        <f>0+SUBTOTAL(9,P15)</f>
        <v>1.18</v>
      </c>
      <c r="K15" s="7" t="s">
        <v>69</v>
      </c>
      <c r="L15" s="4" t="s">
        <v>53</v>
      </c>
      <c r="M15" s="4" t="s">
        <v>51</v>
      </c>
      <c r="N15" s="45">
        <v>150000</v>
      </c>
      <c r="O15" s="45">
        <v>177000</v>
      </c>
      <c r="P15" s="46">
        <f t="shared" ref="P15:P50" si="0">O15/N15</f>
        <v>1.18</v>
      </c>
    </row>
    <row r="16" spans="7:16" x14ac:dyDescent="0.25">
      <c r="G16" t="str">
        <f>COUNTIF($O$14:$O16,O16)&amp;O16</f>
        <v>1291000</v>
      </c>
      <c r="H16" t="str">
        <f>COUNTIF($P$14:$P16,P16)&amp;P16</f>
        <v>11.164</v>
      </c>
      <c r="I16" s="40">
        <f t="shared" ref="I16:J50" si="1">0+SUBTOTAL(9,O16)</f>
        <v>291000</v>
      </c>
      <c r="J16" s="43">
        <f t="shared" si="1"/>
        <v>1.1639999999999999</v>
      </c>
      <c r="K16" s="56" t="s">
        <v>75</v>
      </c>
      <c r="L16" s="4" t="s">
        <v>58</v>
      </c>
      <c r="M16" s="4" t="s">
        <v>59</v>
      </c>
      <c r="N16" s="45">
        <v>250000</v>
      </c>
      <c r="O16" s="45">
        <v>291000</v>
      </c>
      <c r="P16" s="46">
        <f t="shared" si="0"/>
        <v>1.1639999999999999</v>
      </c>
    </row>
    <row r="17" spans="7:16" x14ac:dyDescent="0.25">
      <c r="G17" t="str">
        <f>COUNTIF($O$14:$O17,O17)&amp;O17</f>
        <v>2177000</v>
      </c>
      <c r="H17" t="str">
        <f>COUNTIF($P$14:$P17,P17)&amp;P17</f>
        <v>11.10625</v>
      </c>
      <c r="I17" s="40">
        <f t="shared" si="1"/>
        <v>177000</v>
      </c>
      <c r="J17" s="43">
        <f t="shared" si="1"/>
        <v>1.10625</v>
      </c>
      <c r="K17" s="7" t="s">
        <v>68</v>
      </c>
      <c r="L17" s="4" t="s">
        <v>58</v>
      </c>
      <c r="M17" s="4" t="s">
        <v>51</v>
      </c>
      <c r="N17" s="45">
        <v>160000</v>
      </c>
      <c r="O17" s="45">
        <v>177000</v>
      </c>
      <c r="P17" s="46">
        <f t="shared" si="0"/>
        <v>1.10625</v>
      </c>
    </row>
    <row r="18" spans="7:16" x14ac:dyDescent="0.25">
      <c r="G18" t="str">
        <f>COUNTIF($O$14:$O18,O18)&amp;O18</f>
        <v>1215000</v>
      </c>
      <c r="H18" t="str">
        <f>COUNTIF($P$14:$P18,P18)&amp;P18</f>
        <v>11.075</v>
      </c>
      <c r="I18" s="40">
        <f t="shared" si="1"/>
        <v>215000</v>
      </c>
      <c r="J18" s="43">
        <f t="shared" si="1"/>
        <v>1.075</v>
      </c>
      <c r="K18" s="7" t="s">
        <v>80</v>
      </c>
      <c r="L18" s="4" t="s">
        <v>58</v>
      </c>
      <c r="M18" s="4" t="s">
        <v>81</v>
      </c>
      <c r="N18" s="45">
        <v>200000</v>
      </c>
      <c r="O18" s="45">
        <v>215000</v>
      </c>
      <c r="P18" s="46">
        <f t="shared" si="0"/>
        <v>1.075</v>
      </c>
    </row>
    <row r="19" spans="7:16" x14ac:dyDescent="0.25">
      <c r="G19" t="str">
        <f>COUNTIF($O$14:$O19,O19)&amp;O19</f>
        <v>1100000</v>
      </c>
      <c r="H19" t="str">
        <f>COUNTIF($P$14:$P19,P19)&amp;P19</f>
        <v>10.666666666666667</v>
      </c>
      <c r="I19" s="40">
        <f t="shared" si="1"/>
        <v>100000</v>
      </c>
      <c r="J19" s="43">
        <f t="shared" si="1"/>
        <v>0.66666666666666663</v>
      </c>
      <c r="K19" s="58" t="s">
        <v>63</v>
      </c>
      <c r="L19" s="4" t="s">
        <v>58</v>
      </c>
      <c r="M19" s="4" t="s">
        <v>49</v>
      </c>
      <c r="N19" s="45">
        <v>150000</v>
      </c>
      <c r="O19" s="45">
        <v>100000</v>
      </c>
      <c r="P19" s="46">
        <f t="shared" si="0"/>
        <v>0.66666666666666663</v>
      </c>
    </row>
    <row r="20" spans="7:16" x14ac:dyDescent="0.25">
      <c r="G20" t="str">
        <f>COUNTIF($O$14:$O20,O20)&amp;O20</f>
        <v>1201000</v>
      </c>
      <c r="H20" t="str">
        <f>COUNTIF($P$14:$P20,P20)&amp;P20</f>
        <v>12.01</v>
      </c>
      <c r="I20" s="40">
        <f t="shared" si="1"/>
        <v>201000</v>
      </c>
      <c r="J20" s="43">
        <f t="shared" si="1"/>
        <v>2.0099999999999998</v>
      </c>
      <c r="K20" s="57" t="s">
        <v>66</v>
      </c>
      <c r="L20" s="4" t="s">
        <v>48</v>
      </c>
      <c r="M20" s="4" t="s">
        <v>49</v>
      </c>
      <c r="N20" s="45">
        <v>100000</v>
      </c>
      <c r="O20" s="45">
        <v>201000</v>
      </c>
      <c r="P20" s="46">
        <f t="shared" si="0"/>
        <v>2.0099999999999998</v>
      </c>
    </row>
    <row r="21" spans="7:16" x14ac:dyDescent="0.25">
      <c r="G21" t="str">
        <f>COUNTIF($O$14:$O23,O21)&amp;O21</f>
        <v>1134000</v>
      </c>
      <c r="H21" t="str">
        <f>COUNTIF($P$14:$P23,P21)&amp;P21</f>
        <v>11.34</v>
      </c>
      <c r="I21" s="40">
        <f t="shared" si="1"/>
        <v>134000</v>
      </c>
      <c r="J21" s="43">
        <f t="shared" si="1"/>
        <v>1.34</v>
      </c>
      <c r="K21" s="7" t="s">
        <v>78</v>
      </c>
      <c r="L21" s="4" t="s">
        <v>48</v>
      </c>
      <c r="M21" s="4" t="s">
        <v>59</v>
      </c>
      <c r="N21" s="45">
        <v>100000</v>
      </c>
      <c r="O21" s="45">
        <v>134000</v>
      </c>
      <c r="P21" s="46">
        <f t="shared" si="0"/>
        <v>1.34</v>
      </c>
    </row>
    <row r="22" spans="7:16" x14ac:dyDescent="0.25">
      <c r="G22" t="str">
        <f>COUNTIF($O$14:$O22,O22)&amp;O22</f>
        <v>1159600</v>
      </c>
      <c r="H22" t="str">
        <f>COUNTIF($P$14:$P22,P22)&amp;P22</f>
        <v>11.33</v>
      </c>
      <c r="I22" s="40">
        <f t="shared" si="1"/>
        <v>159600</v>
      </c>
      <c r="J22" s="43">
        <f t="shared" si="1"/>
        <v>1.33</v>
      </c>
      <c r="K22" s="7" t="s">
        <v>64</v>
      </c>
      <c r="L22" s="4" t="s">
        <v>53</v>
      </c>
      <c r="M22" s="4" t="s">
        <v>49</v>
      </c>
      <c r="N22" s="45">
        <v>120000</v>
      </c>
      <c r="O22" s="45">
        <v>159600</v>
      </c>
      <c r="P22" s="46">
        <f t="shared" si="0"/>
        <v>1.33</v>
      </c>
    </row>
    <row r="23" spans="7:16" x14ac:dyDescent="0.25">
      <c r="G23" t="str">
        <f>COUNTIF($O$14:$O23,O23)&amp;O23</f>
        <v>1150000</v>
      </c>
      <c r="H23" t="str">
        <f>COUNTIF($P$14:$P23,P23)&amp;P23</f>
        <v>11.25</v>
      </c>
      <c r="I23" s="40">
        <f t="shared" si="1"/>
        <v>150000</v>
      </c>
      <c r="J23" s="43">
        <f t="shared" si="1"/>
        <v>1.25</v>
      </c>
      <c r="K23" s="7" t="s">
        <v>77</v>
      </c>
      <c r="L23" s="4" t="s">
        <v>53</v>
      </c>
      <c r="M23" s="4" t="s">
        <v>59</v>
      </c>
      <c r="N23" s="45">
        <v>120000</v>
      </c>
      <c r="O23" s="45">
        <v>150000</v>
      </c>
      <c r="P23" s="46">
        <f t="shared" si="0"/>
        <v>1.25</v>
      </c>
    </row>
    <row r="24" spans="7:16" x14ac:dyDescent="0.25">
      <c r="G24" t="str">
        <f>COUNTIF($O$14:$O24,O24)&amp;O24</f>
        <v>2150000</v>
      </c>
      <c r="H24" t="str">
        <f>COUNTIF($P$14:$P24,P24)&amp;P24</f>
        <v>21.25</v>
      </c>
      <c r="I24" s="40">
        <f t="shared" si="1"/>
        <v>150000</v>
      </c>
      <c r="J24" s="43">
        <f t="shared" si="1"/>
        <v>1.25</v>
      </c>
      <c r="K24" s="7" t="s">
        <v>83</v>
      </c>
      <c r="L24" s="4" t="s">
        <v>48</v>
      </c>
      <c r="M24" s="4" t="s">
        <v>81</v>
      </c>
      <c r="N24" s="45">
        <v>120000</v>
      </c>
      <c r="O24" s="45">
        <v>150000</v>
      </c>
      <c r="P24" s="46">
        <f t="shared" si="0"/>
        <v>1.25</v>
      </c>
    </row>
    <row r="25" spans="7:16" x14ac:dyDescent="0.25">
      <c r="G25" t="str">
        <f>COUNTIF($O$14:$O25,O25)&amp;O25</f>
        <v>1122000</v>
      </c>
      <c r="H25" t="str">
        <f>COUNTIF($P$14:$P25,P25)&amp;P25</f>
        <v>11.22</v>
      </c>
      <c r="I25" s="40">
        <f t="shared" si="1"/>
        <v>122000</v>
      </c>
      <c r="J25" s="43">
        <f t="shared" si="1"/>
        <v>1.22</v>
      </c>
      <c r="K25" s="7" t="s">
        <v>60</v>
      </c>
      <c r="L25" s="4" t="s">
        <v>53</v>
      </c>
      <c r="M25" s="4" t="s">
        <v>49</v>
      </c>
      <c r="N25" s="45">
        <v>100000</v>
      </c>
      <c r="O25" s="45">
        <v>122000</v>
      </c>
      <c r="P25" s="46">
        <f t="shared" si="0"/>
        <v>1.22</v>
      </c>
    </row>
    <row r="26" spans="7:16" x14ac:dyDescent="0.25">
      <c r="G26" t="str">
        <f>COUNTIF($O$14:$O26,O26)&amp;O26</f>
        <v>1139000</v>
      </c>
      <c r="H26" t="str">
        <f>COUNTIF($P$14:$P26,P26)&amp;P26</f>
        <v>11.15833333333333</v>
      </c>
      <c r="I26" s="40">
        <f t="shared" si="1"/>
        <v>139000</v>
      </c>
      <c r="J26" s="43">
        <f t="shared" si="1"/>
        <v>1.1583333333333334</v>
      </c>
      <c r="K26" s="58" t="s">
        <v>55</v>
      </c>
      <c r="L26" s="4" t="s">
        <v>53</v>
      </c>
      <c r="M26" s="4" t="s">
        <v>49</v>
      </c>
      <c r="N26" s="45">
        <v>120000</v>
      </c>
      <c r="O26" s="45">
        <v>139000</v>
      </c>
      <c r="P26" s="46">
        <f t="shared" si="0"/>
        <v>1.1583333333333334</v>
      </c>
    </row>
    <row r="27" spans="7:16" x14ac:dyDescent="0.25">
      <c r="G27" t="str">
        <f>COUNTIF($O$14:$O27,O27)&amp;O27</f>
        <v>1138000</v>
      </c>
      <c r="H27" t="str">
        <f>COUNTIF($P$14:$P27,P27)&amp;P27</f>
        <v>11.15</v>
      </c>
      <c r="I27" s="40">
        <f t="shared" si="1"/>
        <v>138000</v>
      </c>
      <c r="J27" s="43">
        <f t="shared" si="1"/>
        <v>1.1499999999999999</v>
      </c>
      <c r="K27" s="7" t="s">
        <v>47</v>
      </c>
      <c r="L27" s="4" t="s">
        <v>48</v>
      </c>
      <c r="M27" s="4" t="s">
        <v>49</v>
      </c>
      <c r="N27" s="45">
        <v>120000</v>
      </c>
      <c r="O27" s="45">
        <v>138000</v>
      </c>
      <c r="P27" s="46">
        <f t="shared" si="0"/>
        <v>1.1499999999999999</v>
      </c>
    </row>
    <row r="28" spans="7:16" x14ac:dyDescent="0.25">
      <c r="G28" t="str">
        <f>COUNTIF($O$14:$O28,O28)&amp;O28</f>
        <v>1114000</v>
      </c>
      <c r="H28" t="str">
        <f>COUNTIF($P$14:$P28,P28)&amp;P28</f>
        <v>11.14</v>
      </c>
      <c r="I28" s="40">
        <f t="shared" si="1"/>
        <v>114000</v>
      </c>
      <c r="J28" s="43">
        <f t="shared" si="1"/>
        <v>1.1399999999999999</v>
      </c>
      <c r="K28" s="7" t="s">
        <v>67</v>
      </c>
      <c r="L28" s="4" t="s">
        <v>48</v>
      </c>
      <c r="M28" s="4" t="s">
        <v>49</v>
      </c>
      <c r="N28" s="45">
        <v>100000</v>
      </c>
      <c r="O28" s="45">
        <v>114000</v>
      </c>
      <c r="P28" s="46">
        <f t="shared" si="0"/>
        <v>1.1399999999999999</v>
      </c>
    </row>
    <row r="29" spans="7:16" x14ac:dyDescent="0.25">
      <c r="G29" t="str">
        <f>COUNTIF($O$14:$O29,O29)&amp;O29</f>
        <v>1124000</v>
      </c>
      <c r="H29" t="str">
        <f>COUNTIF($P$14:$P29,P29)&amp;P29</f>
        <v>11.12727272727273</v>
      </c>
      <c r="I29" s="40">
        <f t="shared" si="1"/>
        <v>124000</v>
      </c>
      <c r="J29" s="43">
        <f t="shared" si="1"/>
        <v>1.1272727272727272</v>
      </c>
      <c r="K29" s="7" t="s">
        <v>76</v>
      </c>
      <c r="L29" s="4" t="s">
        <v>53</v>
      </c>
      <c r="M29" s="4" t="s">
        <v>59</v>
      </c>
      <c r="N29" s="45">
        <v>110000</v>
      </c>
      <c r="O29" s="45">
        <v>124000</v>
      </c>
      <c r="P29" s="46">
        <f t="shared" si="0"/>
        <v>1.1272727272727272</v>
      </c>
    </row>
    <row r="30" spans="7:16" x14ac:dyDescent="0.25">
      <c r="G30" t="str">
        <f>COUNTIF($O$14:$O30,O30)&amp;O30</f>
        <v>1110000</v>
      </c>
      <c r="H30" t="str">
        <f>COUNTIF($P$14:$P30,P30)&amp;P30</f>
        <v>11.1</v>
      </c>
      <c r="I30" s="40">
        <f t="shared" si="1"/>
        <v>110000</v>
      </c>
      <c r="J30" s="43">
        <f t="shared" si="1"/>
        <v>1.1000000000000001</v>
      </c>
      <c r="K30" s="57" t="s">
        <v>72</v>
      </c>
      <c r="L30" s="4" t="s">
        <v>48</v>
      </c>
      <c r="M30" s="4" t="s">
        <v>51</v>
      </c>
      <c r="N30" s="45">
        <v>100000</v>
      </c>
      <c r="O30" s="45">
        <v>110000</v>
      </c>
      <c r="P30" s="46">
        <f t="shared" si="0"/>
        <v>1.1000000000000001</v>
      </c>
    </row>
    <row r="31" spans="7:16" x14ac:dyDescent="0.25">
      <c r="G31" t="str">
        <f>COUNTIF($O$14:$O31,O31)&amp;O31</f>
        <v>1137000</v>
      </c>
      <c r="H31" t="str">
        <f>COUNTIF($P$14:$P31,P31)&amp;P31</f>
        <v>11.096</v>
      </c>
      <c r="I31" s="40">
        <f t="shared" si="1"/>
        <v>137000</v>
      </c>
      <c r="J31" s="43">
        <f t="shared" si="1"/>
        <v>1.0960000000000001</v>
      </c>
      <c r="K31" s="7" t="s">
        <v>57</v>
      </c>
      <c r="L31" s="4" t="s">
        <v>58</v>
      </c>
      <c r="M31" s="4" t="s">
        <v>59</v>
      </c>
      <c r="N31" s="45">
        <v>125000</v>
      </c>
      <c r="O31" s="45">
        <v>137000</v>
      </c>
      <c r="P31" s="46">
        <f t="shared" si="0"/>
        <v>1.0960000000000001</v>
      </c>
    </row>
    <row r="32" spans="7:16" x14ac:dyDescent="0.25">
      <c r="G32" t="str">
        <f>COUNTIF($O$14:$O32,O32)&amp;O32</f>
        <v>1142000</v>
      </c>
      <c r="H32" t="str">
        <f>COUNTIF($P$14:$P32,P32)&amp;P32</f>
        <v>11.01428571428571</v>
      </c>
      <c r="I32" s="40">
        <f t="shared" si="1"/>
        <v>142000</v>
      </c>
      <c r="J32" s="43">
        <f t="shared" si="1"/>
        <v>1.0142857142857142</v>
      </c>
      <c r="K32" s="56" t="s">
        <v>89</v>
      </c>
      <c r="L32" s="4" t="s">
        <v>48</v>
      </c>
      <c r="M32" s="4" t="s">
        <v>49</v>
      </c>
      <c r="N32" s="45">
        <v>140000</v>
      </c>
      <c r="O32" s="45">
        <v>142000</v>
      </c>
      <c r="P32" s="46">
        <f t="shared" si="0"/>
        <v>1.0142857142857142</v>
      </c>
    </row>
    <row r="33" spans="7:16" x14ac:dyDescent="0.25">
      <c r="G33" t="str">
        <f>COUNTIF($O$14:$O33,O33)&amp;O33</f>
        <v>1101000</v>
      </c>
      <c r="H33" t="str">
        <f>COUNTIF($P$14:$P33,P33)&amp;P33</f>
        <v>11.01</v>
      </c>
      <c r="I33" s="40">
        <f t="shared" si="1"/>
        <v>101000</v>
      </c>
      <c r="J33" s="43">
        <f t="shared" si="1"/>
        <v>1.01</v>
      </c>
      <c r="K33" s="7" t="s">
        <v>50</v>
      </c>
      <c r="L33" s="4" t="s">
        <v>48</v>
      </c>
      <c r="M33" s="4" t="s">
        <v>51</v>
      </c>
      <c r="N33" s="45">
        <v>100000</v>
      </c>
      <c r="O33" s="45">
        <v>101000</v>
      </c>
      <c r="P33" s="46">
        <f t="shared" si="0"/>
        <v>1.01</v>
      </c>
    </row>
    <row r="34" spans="7:16" x14ac:dyDescent="0.25">
      <c r="G34" t="str">
        <f>COUNTIF($O$14:$O34,O34)&amp;O34</f>
        <v>198000</v>
      </c>
      <c r="H34" t="str">
        <f>COUNTIF($P$14:$P34,P34)&amp;P34</f>
        <v>10.98</v>
      </c>
      <c r="I34" s="40">
        <f t="shared" si="1"/>
        <v>98000</v>
      </c>
      <c r="J34" s="43">
        <f t="shared" si="1"/>
        <v>0.98</v>
      </c>
      <c r="K34" s="7" t="s">
        <v>65</v>
      </c>
      <c r="L34" s="4" t="s">
        <v>48</v>
      </c>
      <c r="M34" s="4" t="s">
        <v>49</v>
      </c>
      <c r="N34" s="45">
        <v>100000</v>
      </c>
      <c r="O34" s="45">
        <v>98000</v>
      </c>
      <c r="P34" s="46">
        <f t="shared" si="0"/>
        <v>0.98</v>
      </c>
    </row>
    <row r="35" spans="7:16" x14ac:dyDescent="0.25">
      <c r="G35" t="str">
        <f>COUNTIF($O$14:$O35,O35)&amp;O35</f>
        <v>185000</v>
      </c>
      <c r="H35" t="str">
        <f>COUNTIF($P$14:$P35,P35)&amp;P35</f>
        <v>10.85</v>
      </c>
      <c r="I35" s="40">
        <f t="shared" si="1"/>
        <v>85000</v>
      </c>
      <c r="J35" s="43">
        <f t="shared" si="1"/>
        <v>0.85</v>
      </c>
      <c r="K35" s="7" t="s">
        <v>79</v>
      </c>
      <c r="L35" s="4" t="s">
        <v>48</v>
      </c>
      <c r="M35" s="4" t="s">
        <v>59</v>
      </c>
      <c r="N35" s="45">
        <v>100000</v>
      </c>
      <c r="O35" s="45">
        <v>85000</v>
      </c>
      <c r="P35" s="46">
        <f t="shared" si="0"/>
        <v>0.85</v>
      </c>
    </row>
    <row r="36" spans="7:16" x14ac:dyDescent="0.25">
      <c r="G36" t="str">
        <f>COUNTIF($O$14:$O36,O36)&amp;O36</f>
        <v>195000</v>
      </c>
      <c r="H36" t="str">
        <f>COUNTIF($P$14:$P36,P36)&amp;P36</f>
        <v>10.791666666666667</v>
      </c>
      <c r="I36" s="40">
        <f t="shared" si="1"/>
        <v>95000</v>
      </c>
      <c r="J36" s="43">
        <f t="shared" si="1"/>
        <v>0.79166666666666663</v>
      </c>
      <c r="K36" s="7" t="s">
        <v>86</v>
      </c>
      <c r="L36" s="4" t="s">
        <v>48</v>
      </c>
      <c r="M36" s="4" t="s">
        <v>54</v>
      </c>
      <c r="N36" s="45">
        <v>120000</v>
      </c>
      <c r="O36" s="45">
        <v>95000</v>
      </c>
      <c r="P36" s="46">
        <f t="shared" si="0"/>
        <v>0.79166666666666663</v>
      </c>
    </row>
    <row r="37" spans="7:16" x14ac:dyDescent="0.25">
      <c r="G37" t="str">
        <f>COUNTIF($O$14:$O37,O37)&amp;O37</f>
        <v>1109000</v>
      </c>
      <c r="H37" t="str">
        <f>COUNTIF($P$14:$P37,P37)&amp;P37</f>
        <v>10.778571428571429</v>
      </c>
      <c r="I37" s="40">
        <f t="shared" si="1"/>
        <v>109000</v>
      </c>
      <c r="J37" s="43">
        <f t="shared" si="1"/>
        <v>0.77857142857142858</v>
      </c>
      <c r="K37" s="7" t="s">
        <v>62</v>
      </c>
      <c r="L37" s="4" t="s">
        <v>58</v>
      </c>
      <c r="M37" s="4" t="s">
        <v>49</v>
      </c>
      <c r="N37" s="45">
        <v>140000</v>
      </c>
      <c r="O37" s="45">
        <v>109000</v>
      </c>
      <c r="P37" s="46">
        <f t="shared" si="0"/>
        <v>0.77857142857142858</v>
      </c>
    </row>
    <row r="38" spans="7:16" x14ac:dyDescent="0.25">
      <c r="G38" t="str">
        <f>COUNTIF($O$14:$O38,O38)&amp;O38</f>
        <v>1121000</v>
      </c>
      <c r="H38" t="str">
        <f>COUNTIF($P$14:$P38,P38)&amp;P38</f>
        <v>10.75625</v>
      </c>
      <c r="I38" s="40">
        <f t="shared" si="1"/>
        <v>121000</v>
      </c>
      <c r="J38" s="43">
        <f t="shared" si="1"/>
        <v>0.75624999999999998</v>
      </c>
      <c r="K38" s="56" t="s">
        <v>82</v>
      </c>
      <c r="L38" s="4" t="s">
        <v>53</v>
      </c>
      <c r="M38" s="4" t="s">
        <v>81</v>
      </c>
      <c r="N38" s="45">
        <v>160000</v>
      </c>
      <c r="O38" s="45">
        <v>121000</v>
      </c>
      <c r="P38" s="46">
        <f t="shared" si="0"/>
        <v>0.75624999999999998</v>
      </c>
    </row>
    <row r="39" spans="7:16" x14ac:dyDescent="0.25">
      <c r="G39" t="str">
        <f>COUNTIF($O$14:$O39,O39)&amp;O39</f>
        <v>189000</v>
      </c>
      <c r="H39" t="str">
        <f>COUNTIF($P$14:$P39,P39)&amp;P39</f>
        <v>10.712</v>
      </c>
      <c r="I39" s="40">
        <f t="shared" si="1"/>
        <v>89000</v>
      </c>
      <c r="J39" s="43">
        <f t="shared" si="1"/>
        <v>0.71199999999999997</v>
      </c>
      <c r="K39" s="7" t="s">
        <v>52</v>
      </c>
      <c r="L39" s="4" t="s">
        <v>53</v>
      </c>
      <c r="M39" s="4" t="s">
        <v>54</v>
      </c>
      <c r="N39" s="45">
        <v>125000</v>
      </c>
      <c r="O39" s="45">
        <v>89000</v>
      </c>
      <c r="P39" s="46">
        <f t="shared" si="0"/>
        <v>0.71199999999999997</v>
      </c>
    </row>
    <row r="40" spans="7:16" x14ac:dyDescent="0.25">
      <c r="G40" t="str">
        <f>COUNTIF($O$14:$O40,O40)&amp;O40</f>
        <v>136000</v>
      </c>
      <c r="H40" t="str">
        <f>COUNTIF($P$14:$P40,P40)&amp;P40</f>
        <v>10.327272727272727</v>
      </c>
      <c r="I40" s="40">
        <f t="shared" si="1"/>
        <v>36000</v>
      </c>
      <c r="J40" s="43">
        <f t="shared" si="1"/>
        <v>0.32727272727272727</v>
      </c>
      <c r="K40" s="7" t="s">
        <v>74</v>
      </c>
      <c r="L40" s="4" t="s">
        <v>48</v>
      </c>
      <c r="M40" s="4" t="s">
        <v>51</v>
      </c>
      <c r="N40" s="45">
        <v>110000</v>
      </c>
      <c r="O40" s="45">
        <v>36000</v>
      </c>
      <c r="P40" s="46">
        <f t="shared" si="0"/>
        <v>0.32727272727272727</v>
      </c>
    </row>
    <row r="41" spans="7:16" x14ac:dyDescent="0.25">
      <c r="G41" t="str">
        <f>COUNTIF($O$14:$O41,O41)&amp;O41</f>
        <v>192000</v>
      </c>
      <c r="H41" t="str">
        <f>COUNTIF($P$14:$P41,P41)&amp;P41</f>
        <v>21.15</v>
      </c>
      <c r="I41" s="40">
        <f t="shared" si="1"/>
        <v>92000</v>
      </c>
      <c r="J41" s="43">
        <f t="shared" si="1"/>
        <v>1.1499999999999999</v>
      </c>
      <c r="K41" s="7" t="s">
        <v>56</v>
      </c>
      <c r="L41" s="4" t="s">
        <v>48</v>
      </c>
      <c r="M41" s="4" t="s">
        <v>49</v>
      </c>
      <c r="N41" s="45">
        <v>80000</v>
      </c>
      <c r="O41" s="45">
        <v>92000</v>
      </c>
      <c r="P41" s="46">
        <f t="shared" si="0"/>
        <v>1.1499999999999999</v>
      </c>
    </row>
    <row r="42" spans="7:16" x14ac:dyDescent="0.25">
      <c r="G42" t="str">
        <f>COUNTIF($O$14:$O42,O42)&amp;O42</f>
        <v>292000</v>
      </c>
      <c r="H42" t="str">
        <f>COUNTIF($P$14:$P42,P42)&amp;P42</f>
        <v>31.15</v>
      </c>
      <c r="I42" s="40">
        <f t="shared" si="1"/>
        <v>92000</v>
      </c>
      <c r="J42" s="43">
        <f t="shared" si="1"/>
        <v>1.1499999999999999</v>
      </c>
      <c r="K42" s="7" t="s">
        <v>71</v>
      </c>
      <c r="L42" s="4" t="s">
        <v>48</v>
      </c>
      <c r="M42" s="4" t="s">
        <v>51</v>
      </c>
      <c r="N42" s="45">
        <v>80000</v>
      </c>
      <c r="O42" s="45">
        <v>92000</v>
      </c>
      <c r="P42" s="46">
        <f t="shared" si="0"/>
        <v>1.1499999999999999</v>
      </c>
    </row>
    <row r="43" spans="7:16" x14ac:dyDescent="0.25">
      <c r="G43" t="str">
        <f>COUNTIF($O$14:$O43,O43)&amp;O43</f>
        <v>176000</v>
      </c>
      <c r="H43" t="str">
        <f>COUNTIF($P$14:$P43,P43)&amp;P43</f>
        <v>10.95</v>
      </c>
      <c r="I43" s="40">
        <f t="shared" si="1"/>
        <v>76000</v>
      </c>
      <c r="J43" s="43">
        <f t="shared" si="1"/>
        <v>0.95</v>
      </c>
      <c r="K43" s="7" t="s">
        <v>70</v>
      </c>
      <c r="L43" s="4" t="s">
        <v>48</v>
      </c>
      <c r="M43" s="4" t="s">
        <v>51</v>
      </c>
      <c r="N43" s="45">
        <v>80000</v>
      </c>
      <c r="O43" s="45">
        <v>76000</v>
      </c>
      <c r="P43" s="46">
        <f t="shared" si="0"/>
        <v>0.95</v>
      </c>
    </row>
    <row r="44" spans="7:16" x14ac:dyDescent="0.25">
      <c r="G44" t="str">
        <f>COUNTIF($O$14:$O44,O44)&amp;O44</f>
        <v>1130000</v>
      </c>
      <c r="H44" t="str">
        <f>COUNTIF($P$14:$P44,P44)&amp;P44</f>
        <v>11.08333333333333</v>
      </c>
      <c r="I44" s="40">
        <f t="shared" si="1"/>
        <v>130000</v>
      </c>
      <c r="J44" s="43">
        <f t="shared" si="1"/>
        <v>1.0833333333333333</v>
      </c>
      <c r="K44" s="58" t="s">
        <v>61</v>
      </c>
      <c r="L44" s="4" t="s">
        <v>58</v>
      </c>
      <c r="M44" s="4" t="s">
        <v>49</v>
      </c>
      <c r="N44" s="45">
        <v>120000</v>
      </c>
      <c r="O44" s="45">
        <v>130000</v>
      </c>
      <c r="P44" s="46">
        <f t="shared" si="0"/>
        <v>1.0833333333333333</v>
      </c>
    </row>
    <row r="45" spans="7:16" x14ac:dyDescent="0.25">
      <c r="G45" t="str">
        <f>COUNTIF($O$14:$O45,O45)&amp;O45</f>
        <v>147000</v>
      </c>
      <c r="H45" t="str">
        <f>COUNTIF($P$14:$P45,P45)&amp;P45</f>
        <v>10.5875</v>
      </c>
      <c r="I45" s="40">
        <f t="shared" si="1"/>
        <v>47000</v>
      </c>
      <c r="J45" s="43">
        <f t="shared" si="1"/>
        <v>0.58750000000000002</v>
      </c>
      <c r="K45" s="7" t="s">
        <v>84</v>
      </c>
      <c r="L45" s="4" t="s">
        <v>48</v>
      </c>
      <c r="M45" s="4" t="s">
        <v>81</v>
      </c>
      <c r="N45" s="45">
        <v>80000</v>
      </c>
      <c r="O45" s="45">
        <v>47000</v>
      </c>
      <c r="P45" s="46">
        <f t="shared" si="0"/>
        <v>0.58750000000000002</v>
      </c>
    </row>
    <row r="46" spans="7:16" x14ac:dyDescent="0.25">
      <c r="G46" t="str">
        <f>COUNTIF($O$14:$O46,O46)&amp;O46</f>
        <v>150000</v>
      </c>
      <c r="H46" t="str">
        <f>COUNTIF($P$14:$P46,P46)&amp;P46</f>
        <v>10.625</v>
      </c>
      <c r="I46" s="40">
        <f t="shared" si="1"/>
        <v>50000</v>
      </c>
      <c r="J46" s="43">
        <f t="shared" si="1"/>
        <v>0.625</v>
      </c>
      <c r="K46" s="7" t="s">
        <v>87</v>
      </c>
      <c r="L46" s="4" t="s">
        <v>48</v>
      </c>
      <c r="M46" s="4" t="s">
        <v>54</v>
      </c>
      <c r="N46" s="45">
        <v>80000</v>
      </c>
      <c r="O46" s="45">
        <v>50000</v>
      </c>
      <c r="P46" s="46">
        <f t="shared" si="0"/>
        <v>0.625</v>
      </c>
    </row>
    <row r="47" spans="7:16" x14ac:dyDescent="0.25">
      <c r="G47" t="str">
        <f>COUNTIF($O$14:$O47,O47)&amp;O47</f>
        <v>1100500</v>
      </c>
      <c r="H47" t="str">
        <f>COUNTIF($P$14:$P47,P47)&amp;P47</f>
        <v>21.34</v>
      </c>
      <c r="I47" s="40">
        <f t="shared" si="1"/>
        <v>100500</v>
      </c>
      <c r="J47" s="43">
        <f t="shared" si="1"/>
        <v>1.34</v>
      </c>
      <c r="K47" s="57" t="s">
        <v>85</v>
      </c>
      <c r="L47" s="4" t="s">
        <v>48</v>
      </c>
      <c r="M47" s="4" t="s">
        <v>81</v>
      </c>
      <c r="N47" s="45">
        <v>75000</v>
      </c>
      <c r="O47" s="45">
        <v>100500</v>
      </c>
      <c r="P47" s="46">
        <f t="shared" si="0"/>
        <v>1.34</v>
      </c>
    </row>
    <row r="48" spans="7:16" x14ac:dyDescent="0.25">
      <c r="G48" t="str">
        <f>COUNTIF($O$14:$O48,O48)&amp;O48</f>
        <v>2100000</v>
      </c>
      <c r="H48" t="str">
        <f>COUNTIF($P$14:$P48,P48)&amp;P48</f>
        <v>31.25</v>
      </c>
      <c r="I48" s="40">
        <f t="shared" si="1"/>
        <v>100000</v>
      </c>
      <c r="J48" s="43">
        <f t="shared" si="1"/>
        <v>1.25</v>
      </c>
      <c r="K48" s="7" t="s">
        <v>73</v>
      </c>
      <c r="L48" s="4" t="s">
        <v>53</v>
      </c>
      <c r="M48" s="4" t="s">
        <v>51</v>
      </c>
      <c r="N48" s="45">
        <v>80000</v>
      </c>
      <c r="O48" s="45">
        <v>100000</v>
      </c>
      <c r="P48" s="46">
        <f t="shared" si="0"/>
        <v>1.25</v>
      </c>
    </row>
    <row r="49" spans="7:16" x14ac:dyDescent="0.25">
      <c r="G49" t="str">
        <f>COUNTIF($O$14:$O49,O49)&amp;O49</f>
        <v>142000</v>
      </c>
      <c r="H49" t="str">
        <f>COUNTIF($P$14:$P49,P49)&amp;P49</f>
        <v>10.7</v>
      </c>
      <c r="I49" s="40">
        <f t="shared" si="1"/>
        <v>42000</v>
      </c>
      <c r="J49" s="43">
        <f t="shared" si="1"/>
        <v>0.7</v>
      </c>
      <c r="K49" s="57" t="s">
        <v>88</v>
      </c>
      <c r="L49" s="4" t="s">
        <v>48</v>
      </c>
      <c r="M49" s="4" t="s">
        <v>54</v>
      </c>
      <c r="N49" s="45">
        <v>60000</v>
      </c>
      <c r="O49" s="45">
        <v>42000</v>
      </c>
      <c r="P49" s="46">
        <f t="shared" si="0"/>
        <v>0.7</v>
      </c>
    </row>
    <row r="50" spans="7:16" x14ac:dyDescent="0.25">
      <c r="G50" t="str">
        <f>COUNTIF($O$14:$O50,O50)&amp;O50</f>
        <v>140000</v>
      </c>
      <c r="H50" t="str">
        <f>COUNTIF($P$14:$P50,P50)&amp;P50</f>
        <v>10.5</v>
      </c>
      <c r="I50" s="40">
        <f t="shared" si="1"/>
        <v>40000</v>
      </c>
      <c r="J50" s="43">
        <f t="shared" si="1"/>
        <v>0.5</v>
      </c>
      <c r="K50" s="7" t="s">
        <v>90</v>
      </c>
      <c r="L50" s="4" t="s">
        <v>48</v>
      </c>
      <c r="M50" s="4" t="s">
        <v>49</v>
      </c>
      <c r="N50" s="45">
        <v>80000</v>
      </c>
      <c r="O50" s="45">
        <v>40000</v>
      </c>
      <c r="P50" s="46">
        <f t="shared" si="0"/>
        <v>0.5</v>
      </c>
    </row>
  </sheetData>
  <sheetProtection autoFilter="0"/>
  <conditionalFormatting sqref="P15:P50">
    <cfRule type="iconSet" priority="1">
      <iconSet>
        <cfvo type="percent" val="0"/>
        <cfvo type="percentile" val="33"/>
        <cfvo type="percentile" val="67"/>
      </iconSet>
    </cfRule>
  </conditionalFormatting>
  <pageMargins left="0.23622047244094491" right="0.23622047244094491" top="0.43307086614173229" bottom="0.43307086614173229" header="0.23622047244094491" footer="0.23622047244094491"/>
  <pageSetup paperSize="9" scale="80" orientation="landscape" r:id="rId1"/>
  <headerFooter alignWithMargins="0">
    <oddFooter>&amp;L&amp;8&amp;D &amp;T&amp;C&amp;8&amp;Z&amp;F&amp;R&amp;8&amp;P of &amp;N</oddFooter>
  </headerFooter>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Guide</vt:lpstr>
      <vt:lpstr>Params</vt:lpstr>
      <vt:lpstr>sSales</vt:lpstr>
      <vt:lpstr>sSales2</vt:lpstr>
      <vt:lpstr>sSalesFilter</vt:lpstr>
      <vt:lpstr>sSalesColour</vt:lpstr>
      <vt:lpstr>afbGuide</vt:lpstr>
      <vt:lpstr>afbParams</vt:lpstr>
      <vt:lpstr>sSales!afbSheet</vt:lpstr>
      <vt:lpstr>sSales2!afbSheet</vt:lpstr>
      <vt:lpstr>sSalesColour!afbSheet</vt:lpstr>
      <vt:lpstr>sSalesFilter!afbSheet</vt:lpstr>
      <vt:lpstr>sSales2!dtiSalesPerformance</vt:lpstr>
      <vt:lpstr>sSalesColour!dtiSalesPerformance</vt:lpstr>
      <vt:lpstr>sSalesFilter!dtiSalesPerformance</vt:lpstr>
      <vt:lpstr>dtiSalesPerformance</vt:lpstr>
      <vt:lpstr>gAppDescription</vt:lpstr>
      <vt:lpstr>gCreator</vt:lpstr>
      <vt:lpstr>gProcedures</vt:lpstr>
      <vt:lpstr>gPurpose</vt:lpstr>
      <vt:lpstr>gStartWorkbook</vt:lpstr>
      <vt:lpstr>kAppName</vt:lpstr>
      <vt:lpstr>kCrosscheckMsg</vt:lpstr>
      <vt:lpstr>kCrosscheckTolerance</vt:lpstr>
      <vt:lpstr>kHideWebToolbar</vt:lpstr>
      <vt:lpstr>kNow</vt:lpstr>
      <vt:lpstr>kOrgName</vt:lpstr>
      <vt:lpstr>kPeriod</vt:lpstr>
      <vt:lpstr>kVersion</vt:lpstr>
      <vt:lpstr>sSales!Print_Area</vt:lpstr>
      <vt:lpstr>sSales2!Print_Area</vt:lpstr>
      <vt:lpstr>sSalesColour!Print_Area</vt:lpstr>
      <vt:lpstr>sSalesFilter!Print_Area</vt:lpstr>
      <vt:lpstr>Guide!Print_Titles</vt:lpstr>
      <vt:lpstr>Params!Print_Titles</vt:lpstr>
      <vt:lpstr>sSales!Print_Titles</vt:lpstr>
      <vt:lpstr>sSales2!Print_Titles</vt:lpstr>
      <vt:lpstr>sSalesColour!Print_Titles</vt:lpstr>
      <vt:lpstr>sSalesFilter!Print_Titles</vt:lpstr>
      <vt:lpstr>sSales2!tcOffice</vt:lpstr>
      <vt:lpstr>sSalesColour!tcOffice</vt:lpstr>
      <vt:lpstr>sSalesFilter!tcOffice</vt:lpstr>
      <vt:lpstr>tcOffice</vt:lpstr>
      <vt:lpstr>sSales2!tcSales</vt:lpstr>
      <vt:lpstr>sSalesColour!tcSales</vt:lpstr>
      <vt:lpstr>sSalesFilter!tcSales</vt:lpstr>
      <vt:lpstr>tcSales</vt:lpstr>
      <vt:lpstr>sSales2!tcTarget</vt:lpstr>
      <vt:lpstr>sSalesColour!tcTarget</vt:lpstr>
      <vt:lpstr>sSalesFilter!tcTarget</vt:lpstr>
      <vt:lpstr>tcTarget</vt:lpstr>
      <vt:lpstr>sSales2!tcTeam</vt:lpstr>
      <vt:lpstr>sSalesColour!tcTeam</vt:lpstr>
      <vt:lpstr>sSalesFilter!tcTeam</vt:lpstr>
      <vt:lpstr>tcTeam</vt:lpstr>
      <vt:lpstr>Guide!ttSheet</vt:lpstr>
      <vt:lpstr>Params!ttSheet</vt:lpstr>
      <vt:lpstr>sSales!ttSheet</vt:lpstr>
      <vt:lpstr>sSales2!ttSheet</vt:lpstr>
      <vt:lpstr>sSalesColour!ttSheet</vt:lpstr>
      <vt:lpstr>sSalesFilter!ttSheet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Oulton</dc:creator>
  <cp:lastModifiedBy>Paul Oulton</cp:lastModifiedBy>
  <cp:lastPrinted>2014-05-06T03:01:02Z</cp:lastPrinted>
  <dcterms:created xsi:type="dcterms:W3CDTF">1997-09-04T02:48:07Z</dcterms:created>
  <dcterms:modified xsi:type="dcterms:W3CDTF">2024-03-25T04:01:02Z</dcterms:modified>
</cp:coreProperties>
</file>